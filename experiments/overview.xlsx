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na/Documents/Studium/Informatik M.Sc. - Tü/SoSe 2023/social-rl/experiments/"/>
    </mc:Choice>
  </mc:AlternateContent>
  <xr:revisionPtr revIDLastSave="0" documentId="13_ncr:1_{E645AA2A-AAC1-774D-8053-473FB96CFB6A}" xr6:coauthVersionLast="47" xr6:coauthVersionMax="47" xr10:uidLastSave="{00000000-0000-0000-0000-000000000000}"/>
  <bookViews>
    <workbookView xWindow="0" yWindow="0" windowWidth="28800" windowHeight="18000" activeTab="2" xr2:uid="{B895A0EB-897B-CF40-998F-9A2998F032D1}"/>
  </bookViews>
  <sheets>
    <sheet name="Basis SAC" sheetId="1" r:id="rId1"/>
    <sheet name="Social SAC (+ policy update)" sheetId="2" r:id="rId2"/>
    <sheet name="Social SAC (+ Q-Value update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2" l="1"/>
  <c r="U48" i="2"/>
  <c r="U49" i="2"/>
  <c r="U50" i="2"/>
  <c r="U51" i="2"/>
  <c r="U46" i="2"/>
  <c r="AO36" i="1"/>
  <c r="AO35" i="1"/>
  <c r="AO34" i="1"/>
  <c r="AO33" i="1"/>
  <c r="AO32" i="1"/>
  <c r="AO31" i="1"/>
  <c r="AO30" i="1"/>
  <c r="AO29" i="1"/>
  <c r="AO27" i="1"/>
  <c r="AO28" i="1"/>
  <c r="AO26" i="1"/>
  <c r="AO23" i="1"/>
  <c r="AO24" i="1"/>
  <c r="AO25" i="1"/>
  <c r="AO22" i="1"/>
  <c r="AO21" i="1"/>
  <c r="AO15" i="1"/>
  <c r="AO16" i="1"/>
  <c r="AO17" i="1"/>
  <c r="AO18" i="1"/>
  <c r="AO19" i="1"/>
  <c r="AO20" i="1"/>
  <c r="AO14" i="1"/>
  <c r="AO13" i="1"/>
  <c r="AO12" i="1"/>
  <c r="AO11" i="1"/>
  <c r="AO10" i="1"/>
  <c r="AO9" i="1"/>
  <c r="AO8" i="1"/>
  <c r="AO7" i="1"/>
  <c r="AO6" i="1"/>
  <c r="AO5" i="1"/>
</calcChain>
</file>

<file path=xl/sharedStrings.xml><?xml version="1.0" encoding="utf-8"?>
<sst xmlns="http://schemas.openxmlformats.org/spreadsheetml/2006/main" count="1022" uniqueCount="53">
  <si>
    <t>Compared to</t>
  </si>
  <si>
    <t>Reward Function</t>
  </si>
  <si>
    <t>Price Penalty</t>
  </si>
  <si>
    <t>Solar Penalty</t>
  </si>
  <si>
    <t>Pricing Factor</t>
  </si>
  <si>
    <t>Normalice Prize</t>
  </si>
  <si>
    <t>Yes</t>
  </si>
  <si>
    <t>No</t>
  </si>
  <si>
    <t>ID</t>
  </si>
  <si>
    <t>x</t>
  </si>
  <si>
    <t>autotune alpha</t>
  </si>
  <si>
    <t>Weather</t>
  </si>
  <si>
    <t>1loc</t>
  </si>
  <si>
    <t>8locs</t>
  </si>
  <si>
    <t>FossilPenalty</t>
  </si>
  <si>
    <t>Limit observations</t>
  </si>
  <si>
    <t>Tolovski</t>
  </si>
  <si>
    <t>Episodes</t>
  </si>
  <si>
    <t>Batch size</t>
  </si>
  <si>
    <t>Gradient clipping</t>
  </si>
  <si>
    <t>Loss</t>
  </si>
  <si>
    <t>L2</t>
  </si>
  <si>
    <t>L1</t>
  </si>
  <si>
    <t>Discount factor</t>
  </si>
  <si>
    <t>Kaimin Init</t>
  </si>
  <si>
    <t>Renew. Prod. factor</t>
  </si>
  <si>
    <t>Buildings</t>
  </si>
  <si>
    <t>Original</t>
  </si>
  <si>
    <t>New1</t>
  </si>
  <si>
    <t>New2</t>
  </si>
  <si>
    <t>a*PP+(1-a)*SP</t>
  </si>
  <si>
    <t>longer runtime</t>
  </si>
  <si>
    <t>Demo Transitions</t>
  </si>
  <si>
    <t>Imitation rate</t>
  </si>
  <si>
    <t>#Random Demo</t>
  </si>
  <si>
    <t>Pretained demo</t>
  </si>
  <si>
    <t>B6</t>
  </si>
  <si>
    <t>None</t>
  </si>
  <si>
    <t>Mode</t>
  </si>
  <si>
    <t>SAC</t>
  </si>
  <si>
    <t>lernt nichts</t>
  </si>
  <si>
    <t>nicht signifikant</t>
  </si>
  <si>
    <t>Mode 1</t>
  </si>
  <si>
    <t>Mode 2</t>
  </si>
  <si>
    <t>Mode 3</t>
  </si>
  <si>
    <t>Mode 4</t>
  </si>
  <si>
    <t>Mode 5</t>
  </si>
  <si>
    <t>Mode 6</t>
  </si>
  <si>
    <t>Additional policy update (loss):</t>
  </si>
  <si>
    <t>Determ. Demo</t>
  </si>
  <si>
    <t>4290424-4290429</t>
  </si>
  <si>
    <t>Additional Q-Value Update</t>
  </si>
  <si>
    <t>+ soft target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</si>
</sst>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2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65078</xdr:colOff>
      <xdr:row>2</xdr:row>
      <xdr:rowOff>8716</xdr:rowOff>
    </xdr:from>
    <xdr:ext cx="1587806" cy="191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40CAF2-6835-F7E0-2B5C-29967DD4FA30}"/>
                </a:ext>
              </a:extLst>
            </xdr:cNvPr>
            <xdr:cNvSpPr txBox="1"/>
          </xdr:nvSpPr>
          <xdr:spPr>
            <a:xfrm>
              <a:off x="13276084" y="414515"/>
              <a:ext cx="1587806" cy="191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ℓ=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𝔼</m:t>
                        </m:r>
                      </m:e>
                      <m:sub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~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𝒟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𝜀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~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𝒩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𝑞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240CAF2-6835-F7E0-2B5C-29967DD4FA30}"/>
                </a:ext>
              </a:extLst>
            </xdr:cNvPr>
            <xdr:cNvSpPr txBox="1"/>
          </xdr:nvSpPr>
          <xdr:spPr>
            <a:xfrm>
              <a:off x="13276084" y="414515"/>
              <a:ext cx="1587806" cy="191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ℓ=𝔼_(𝑠_𝑡~𝒟,𝜀_𝑡~𝒩) [𝛼𝑝^𝑑−𝑞^𝑑]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27</xdr:col>
      <xdr:colOff>298037</xdr:colOff>
      <xdr:row>3</xdr:row>
      <xdr:rowOff>8717</xdr:rowOff>
    </xdr:from>
    <xdr:ext cx="188513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0A40B5-79C9-1352-2FFC-444DD6087965}"/>
                </a:ext>
              </a:extLst>
            </xdr:cNvPr>
            <xdr:cNvSpPr txBox="1"/>
          </xdr:nvSpPr>
          <xdr:spPr>
            <a:xfrm>
              <a:off x="13509043" y="617415"/>
              <a:ext cx="188513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00A40B5-79C9-1352-2FFC-444DD6087965}"/>
                </a:ext>
              </a:extLst>
            </xdr:cNvPr>
            <xdr:cNvSpPr txBox="1"/>
          </xdr:nvSpPr>
          <xdr:spPr>
            <a:xfrm>
              <a:off x="13509043" y="617415"/>
              <a:ext cx="188513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𝑝^𝑑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330201</xdr:colOff>
      <xdr:row>3</xdr:row>
      <xdr:rowOff>10821</xdr:rowOff>
    </xdr:from>
    <xdr:ext cx="187038" cy="1788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C4A19D9-6575-1949-A641-6C8E52692066}"/>
                </a:ext>
              </a:extLst>
            </xdr:cNvPr>
            <xdr:cNvSpPr txBox="1"/>
          </xdr:nvSpPr>
          <xdr:spPr>
            <a:xfrm>
              <a:off x="14367834" y="619519"/>
              <a:ext cx="187038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C4A19D9-6575-1949-A641-6C8E52692066}"/>
                </a:ext>
              </a:extLst>
            </xdr:cNvPr>
            <xdr:cNvSpPr txBox="1"/>
          </xdr:nvSpPr>
          <xdr:spPr>
            <a:xfrm>
              <a:off x="14367834" y="619519"/>
              <a:ext cx="187038" cy="1788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𝑞^𝑑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27</xdr:col>
      <xdr:colOff>35020</xdr:colOff>
      <xdr:row>4</xdr:row>
      <xdr:rowOff>46295</xdr:rowOff>
    </xdr:from>
    <xdr:ext cx="1329723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B4F5A7-C331-EB23-C34E-A1BEED43C281}"/>
                </a:ext>
              </a:extLst>
            </xdr:cNvPr>
            <xdr:cNvSpPr txBox="1"/>
          </xdr:nvSpPr>
          <xdr:spPr>
            <a:xfrm>
              <a:off x="13246026" y="857893"/>
              <a:ext cx="1329723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Sup>
                      <m:sSub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bSup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8B4F5A7-C331-EB23-C34E-A1BEED43C281}"/>
                </a:ext>
              </a:extLst>
            </xdr:cNvPr>
            <xdr:cNvSpPr txBox="1"/>
          </xdr:nvSpPr>
          <xdr:spPr>
            <a:xfrm>
              <a:off x="13246026" y="857893"/>
              <a:ext cx="1329723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𝜋〗_𝜙^𝑑 (𝑓_𝜙^𝑑 (𝜀_𝑡;𝑠_𝑡 )│𝑠_𝑡 ) 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26</xdr:col>
      <xdr:colOff>1908307</xdr:colOff>
      <xdr:row>8</xdr:row>
      <xdr:rowOff>40883</xdr:rowOff>
    </xdr:from>
    <xdr:ext cx="3164178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0F2A5-3DD8-3541-9525-1AC637168182}"/>
                </a:ext>
              </a:extLst>
            </xdr:cNvPr>
            <xdr:cNvSpPr txBox="1"/>
          </xdr:nvSpPr>
          <xdr:spPr>
            <a:xfrm>
              <a:off x="13112863" y="1964670"/>
              <a:ext cx="316417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0F2A5-3DD8-3541-9525-1AC637168182}"/>
                </a:ext>
              </a:extLst>
            </xdr:cNvPr>
            <xdr:cNvSpPr txBox="1"/>
          </xdr:nvSpPr>
          <xdr:spPr>
            <a:xfrm>
              <a:off x="13112863" y="1964670"/>
              <a:ext cx="316417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 (𝑓_𝜙^𝑑 (𝜀_𝑡;𝑠_𝑡 )│𝑠_𝑡 )+𝛼_𝑖 |</a:t>
              </a: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 (𝑓_𝜙^𝑑 (𝜀_𝑡;𝑠_𝑡 )│𝑠_𝑡 )|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27504</xdr:colOff>
      <xdr:row>5</xdr:row>
      <xdr:rowOff>23745</xdr:rowOff>
    </xdr:from>
    <xdr:ext cx="110261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0D5D04-CDEA-BCD4-A1C1-FF23CA49AC66}"/>
                </a:ext>
              </a:extLst>
            </xdr:cNvPr>
            <xdr:cNvSpPr txBox="1"/>
          </xdr:nvSpPr>
          <xdr:spPr>
            <a:xfrm>
              <a:off x="14636261" y="1113390"/>
              <a:ext cx="110261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20D5D04-CDEA-BCD4-A1C1-FF23CA49AC66}"/>
                </a:ext>
              </a:extLst>
            </xdr:cNvPr>
            <xdr:cNvSpPr txBox="1"/>
          </xdr:nvSpPr>
          <xdr:spPr>
            <a:xfrm>
              <a:off x="14636261" y="1113390"/>
              <a:ext cx="110261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15030</xdr:colOff>
      <xdr:row>4</xdr:row>
      <xdr:rowOff>15030</xdr:rowOff>
    </xdr:from>
    <xdr:ext cx="258558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E6C12CD-8F16-CF4B-ACE7-19316673A10D}"/>
                </a:ext>
              </a:extLst>
            </xdr:cNvPr>
            <xdr:cNvSpPr txBox="1"/>
          </xdr:nvSpPr>
          <xdr:spPr>
            <a:xfrm>
              <a:off x="14623787" y="826628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de-DE" sz="1100" b="0" i="0">
                                <a:latin typeface="Cambria Math" panose="02040503050406030204" pitchFamily="18" charset="0"/>
                              </a:rPr>
                              <m:t>Q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E6C12CD-8F16-CF4B-ACE7-19316673A10D}"/>
                </a:ext>
              </a:extLst>
            </xdr:cNvPr>
            <xdr:cNvSpPr txBox="1"/>
          </xdr:nvSpPr>
          <xdr:spPr>
            <a:xfrm>
              <a:off x="14623787" y="826628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))+𝛼_𝑖 |</a:t>
              </a: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(</a:t>
              </a:r>
              <a:r>
                <a:rPr lang="de-DE" sz="1100" b="0" i="0">
                  <a:latin typeface="Cambria Math" panose="02040503050406030204" pitchFamily="18" charset="0"/>
                </a:rPr>
                <a:t>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))|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17134</xdr:colOff>
      <xdr:row>6</xdr:row>
      <xdr:rowOff>17135</xdr:rowOff>
    </xdr:from>
    <xdr:ext cx="258558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2CAACAA-C396-4341-9B52-36AEC4014DF3}"/>
                </a:ext>
              </a:extLst>
            </xdr:cNvPr>
            <xdr:cNvSpPr txBox="1"/>
          </xdr:nvSpPr>
          <xdr:spPr>
            <a:xfrm>
              <a:off x="14625891" y="1384827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de-DE" sz="1100" b="0" i="0">
                                <a:latin typeface="Cambria Math" panose="02040503050406030204" pitchFamily="18" charset="0"/>
                              </a:rPr>
                              <m:t>Q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2CAACAA-C396-4341-9B52-36AEC4014DF3}"/>
                </a:ext>
              </a:extLst>
            </xdr:cNvPr>
            <xdr:cNvSpPr txBox="1"/>
          </xdr:nvSpPr>
          <xdr:spPr>
            <a:xfrm>
              <a:off x="14625891" y="1384827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))+𝛼_𝑖 |</a:t>
              </a: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(</a:t>
              </a:r>
              <a:r>
                <a:rPr lang="de-DE" sz="1100" b="0" i="0">
                  <a:latin typeface="Cambria Math" panose="02040503050406030204" pitchFamily="18" charset="0"/>
                </a:rPr>
                <a:t>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))|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29608</xdr:colOff>
      <xdr:row>8</xdr:row>
      <xdr:rowOff>25849</xdr:rowOff>
    </xdr:from>
    <xdr:ext cx="110261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D44C291-E913-6747-A36F-C679D5567CB8}"/>
                </a:ext>
              </a:extLst>
            </xdr:cNvPr>
            <xdr:cNvSpPr txBox="1"/>
          </xdr:nvSpPr>
          <xdr:spPr>
            <a:xfrm>
              <a:off x="14638365" y="1949636"/>
              <a:ext cx="110261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D44C291-E913-6747-A36F-C679D5567CB8}"/>
                </a:ext>
              </a:extLst>
            </xdr:cNvPr>
            <xdr:cNvSpPr txBox="1"/>
          </xdr:nvSpPr>
          <xdr:spPr>
            <a:xfrm>
              <a:off x="14638365" y="1949636"/>
              <a:ext cx="110261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17134</xdr:colOff>
      <xdr:row>7</xdr:row>
      <xdr:rowOff>17134</xdr:rowOff>
    </xdr:from>
    <xdr:ext cx="258558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9F76581-7CF6-9844-B0DD-63492ECD1E8D}"/>
                </a:ext>
              </a:extLst>
            </xdr:cNvPr>
            <xdr:cNvSpPr txBox="1"/>
          </xdr:nvSpPr>
          <xdr:spPr>
            <a:xfrm>
              <a:off x="14625891" y="1662874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de-DE" sz="1100" b="0" i="0">
                                <a:latin typeface="Cambria Math" panose="02040503050406030204" pitchFamily="18" charset="0"/>
                              </a:rPr>
                              <m:t>Q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9F76581-7CF6-9844-B0DD-63492ECD1E8D}"/>
                </a:ext>
              </a:extLst>
            </xdr:cNvPr>
            <xdr:cNvSpPr txBox="1"/>
          </xdr:nvSpPr>
          <xdr:spPr>
            <a:xfrm>
              <a:off x="14625891" y="1662874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))+𝛼_𝑖 |</a:t>
              </a: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(</a:t>
              </a:r>
              <a:r>
                <a:rPr lang="de-DE" sz="1100" b="0" i="0">
                  <a:latin typeface="Cambria Math" panose="02040503050406030204" pitchFamily="18" charset="0"/>
                </a:rPr>
                <a:t>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))|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28</xdr:col>
      <xdr:colOff>19238</xdr:colOff>
      <xdr:row>9</xdr:row>
      <xdr:rowOff>19239</xdr:rowOff>
    </xdr:from>
    <xdr:ext cx="2585580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A435A4-AB4D-9D46-A417-1B9B0833BDCC}"/>
                </a:ext>
              </a:extLst>
            </xdr:cNvPr>
            <xdr:cNvSpPr txBox="1"/>
          </xdr:nvSpPr>
          <xdr:spPr>
            <a:xfrm>
              <a:off x="14627995" y="2221073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de-DE" sz="1100" b="0" i="0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de-DE" sz="1100" b="0" i="0">
                                <a:latin typeface="Cambria Math" panose="02040503050406030204" pitchFamily="18" charset="0"/>
                              </a:rPr>
                              <m:t>Q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3A435A4-AB4D-9D46-A417-1B9B0833BDCC}"/>
                </a:ext>
              </a:extLst>
            </xdr:cNvPr>
            <xdr:cNvSpPr txBox="1"/>
          </xdr:nvSpPr>
          <xdr:spPr>
            <a:xfrm>
              <a:off x="14627995" y="2221073"/>
              <a:ext cx="2585580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</a:t>
              </a:r>
              <a:r>
                <a:rPr lang="de-DE" sz="1100" b="0" i="0">
                  <a:latin typeface="Cambria Math" panose="02040503050406030204" pitchFamily="18" charset="0"/>
                </a:rPr>
                <a:t>(𝑠_𝑡,𝑓_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))+𝛼_𝑖 |</a:t>
              </a:r>
              <a:r>
                <a:rPr lang="de-DE" sz="1100" b="0" i="0">
                  <a:latin typeface="Cambria Math" panose="02040503050406030204" pitchFamily="18" charset="0"/>
                </a:rPr>
                <a:t>Q_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 (</a:t>
              </a:r>
              <a:r>
                <a:rPr lang="de-DE" sz="1100" b="0" i="0">
                  <a:latin typeface="Cambria Math" panose="02040503050406030204" pitchFamily="18" charset="0"/>
                </a:rPr>
                <a:t>𝑠_𝑡,𝑓_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𝜙^</a:t>
              </a:r>
              <a:r>
                <a:rPr lang="de-DE" sz="1100" b="0" i="0">
                  <a:latin typeface="Cambria Math" panose="02040503050406030204" pitchFamily="18" charset="0"/>
                </a:rPr>
                <a:t>𝑑 (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𝜀_𝑡;𝑠_𝑡 ))|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27</xdr:col>
      <xdr:colOff>15030</xdr:colOff>
      <xdr:row>5</xdr:row>
      <xdr:rowOff>52603</xdr:rowOff>
    </xdr:from>
    <xdr:ext cx="2983958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89B5422-57BE-D34A-B56A-B42E64C61406}"/>
                </a:ext>
              </a:extLst>
            </xdr:cNvPr>
            <xdr:cNvSpPr txBox="1"/>
          </xdr:nvSpPr>
          <xdr:spPr>
            <a:xfrm>
              <a:off x="13226036" y="1142248"/>
              <a:ext cx="298395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Sup>
                      <m:sSub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bSup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89B5422-57BE-D34A-B56A-B42E64C61406}"/>
                </a:ext>
              </a:extLst>
            </xdr:cNvPr>
            <xdr:cNvSpPr txBox="1"/>
          </xdr:nvSpPr>
          <xdr:spPr>
            <a:xfrm>
              <a:off x="13226036" y="1142248"/>
              <a:ext cx="298395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𝜋〗_𝜙^𝑑 (𝑓_𝜙^𝑑 (𝜀_𝑡;𝑠_𝑡 )│𝑠_𝑡 )+𝛼_𝑖 |</a:t>
              </a: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𝜋〗_𝜙^𝑑 (𝑓_𝜙^𝑑 (𝜀_𝑡;𝑠_𝑡 )│𝑠_𝑡 )| 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27</xdr:col>
      <xdr:colOff>17135</xdr:colOff>
      <xdr:row>6</xdr:row>
      <xdr:rowOff>47193</xdr:rowOff>
    </xdr:from>
    <xdr:ext cx="2983958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9FA2B00-C4EA-FE48-966B-4B0F6D43351A}"/>
                </a:ext>
              </a:extLst>
            </xdr:cNvPr>
            <xdr:cNvSpPr txBox="1"/>
          </xdr:nvSpPr>
          <xdr:spPr>
            <a:xfrm>
              <a:off x="13228141" y="1414885"/>
              <a:ext cx="298395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Sup>
                      <m:sSub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bSup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9FA2B00-C4EA-FE48-966B-4B0F6D43351A}"/>
                </a:ext>
              </a:extLst>
            </xdr:cNvPr>
            <xdr:cNvSpPr txBox="1"/>
          </xdr:nvSpPr>
          <xdr:spPr>
            <a:xfrm>
              <a:off x="13228141" y="1414885"/>
              <a:ext cx="298395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𝜋〗_𝜙^𝑑 (𝑓_𝜙^𝑑 (𝜀_𝑡;𝑠_𝑡 )│𝑠_𝑡 )+𝛼_𝑖 |</a:t>
              </a: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𝜋〗_𝜙^𝑑 (𝑓_𝜙^𝑑 (𝜀_𝑡;𝑠_𝑡 )│𝑠_𝑡 )| 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27</xdr:col>
      <xdr:colOff>22094</xdr:colOff>
      <xdr:row>7</xdr:row>
      <xdr:rowOff>33367</xdr:rowOff>
    </xdr:from>
    <xdr:ext cx="1289071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5A65F39-63DA-1348-9141-55588DE1956E}"/>
                </a:ext>
              </a:extLst>
            </xdr:cNvPr>
            <xdr:cNvSpPr txBox="1"/>
          </xdr:nvSpPr>
          <xdr:spPr>
            <a:xfrm>
              <a:off x="13233100" y="1679107"/>
              <a:ext cx="1289071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Sup>
                      <m:sSub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bSup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𝜀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;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)|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5A65F39-63DA-1348-9141-55588DE1956E}"/>
                </a:ext>
              </a:extLst>
            </xdr:cNvPr>
            <xdr:cNvSpPr txBox="1"/>
          </xdr:nvSpPr>
          <xdr:spPr>
            <a:xfrm>
              <a:off x="13233100" y="1679107"/>
              <a:ext cx="1289071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 (𝑓_𝜙^𝑑 (𝜀_𝑡;𝑠_𝑡)|𝑠_𝑡)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26</xdr:col>
      <xdr:colOff>1908758</xdr:colOff>
      <xdr:row>9</xdr:row>
      <xdr:rowOff>37574</xdr:rowOff>
    </xdr:from>
    <xdr:ext cx="3164178" cy="204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3B18CA6-59C6-BB41-8168-2F4ABC01C235}"/>
                </a:ext>
              </a:extLst>
            </xdr:cNvPr>
            <xdr:cNvSpPr txBox="1"/>
          </xdr:nvSpPr>
          <xdr:spPr>
            <a:xfrm>
              <a:off x="13113314" y="2239408"/>
              <a:ext cx="316417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𝑙𝑜𝑔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𝜙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𝜀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begChr m:val="|"/>
                        <m:endChr m:val="|"/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𝜋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𝜙</m:t>
                            </m:r>
                          </m:sub>
                        </m:sSub>
                        <m:d>
                          <m:d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𝜙</m:t>
                                </m:r>
                              </m:sub>
                              <m:sup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𝑑</m:t>
                                </m:r>
                              </m:sup>
                            </m:sSubSup>
                            <m:d>
                              <m:d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𝜀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;</m:t>
                                </m:r>
                                <m:sSub>
                                  <m:sSubPr>
                                    <m:ctrlP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𝑠</m:t>
                                    </m:r>
                                  </m:e>
                                  <m:sub>
                                    <m:r>
                                      <a:rPr lang="de-DE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</m:t>
                                    </m:r>
                                  </m:sub>
                                </m:sSub>
                              </m:e>
                            </m:d>
                          </m:e>
                          <m:e>
                            <m:sSub>
                              <m:sSubPr>
                                <m:ctrlP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b>
                                <m:r>
                                  <a:rPr lang="de-DE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3B18CA6-59C6-BB41-8168-2F4ABC01C235}"/>
                </a:ext>
              </a:extLst>
            </xdr:cNvPr>
            <xdr:cNvSpPr txBox="1"/>
          </xdr:nvSpPr>
          <xdr:spPr>
            <a:xfrm>
              <a:off x="13113314" y="2239408"/>
              <a:ext cx="3164178" cy="20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 (𝑓_𝜙^𝑑 (𝜀_𝑡;𝑠_𝑡 )│𝑠_𝑡 )+𝛼_𝑖 |</a:t>
              </a:r>
              <a:r>
                <a:rPr lang="de-DE" sz="1100" b="0" i="0">
                  <a:latin typeface="Cambria Math" panose="02040503050406030204" pitchFamily="18" charset="0"/>
                </a:rPr>
                <a:t>𝑙𝑜𝑔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 𝜋〗_𝜙 (𝑓_𝜙^𝑑 (𝜀_𝑡;𝑠_𝑡 )│𝑠_𝑡 )|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146050</xdr:colOff>
      <xdr:row>2</xdr:row>
      <xdr:rowOff>19050</xdr:rowOff>
    </xdr:from>
    <xdr:ext cx="2511393" cy="1984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CF97E0-2643-B193-525D-59BF72068FBF}"/>
                </a:ext>
              </a:extLst>
            </xdr:cNvPr>
            <xdr:cNvSpPr txBox="1"/>
          </xdr:nvSpPr>
          <xdr:spPr>
            <a:xfrm>
              <a:off x="13849350" y="425450"/>
              <a:ext cx="2511393" cy="198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ℓ</m:t>
                    </m:r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bar>
                          <m:barPr>
                            <m:pos m:val="top"/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e>
                        </m:bar>
                      </m:sub>
                    </m:sSub>
                    <m:d>
                      <m:d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</m:t>
                        </m:r>
                        <m:sSubSup>
                          <m:sSubSupPr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sub>
                          <m:sup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sup>
                        </m:sSubSup>
                      </m:e>
                    </m:d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|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bar>
                          <m:barPr>
                            <m:pos m:val="top"/>
                            <m:ctrlP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bar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𝜃</m:t>
                            </m:r>
                          </m:e>
                        </m:ba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</m:t>
                    </m:r>
                    <m:sSubSup>
                      <m:sSubSupPr>
                        <m:ctrlP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de-D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</m:sup>
                    </m:sSubSup>
                    <m:r>
                      <a:rPr lang="de-DE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)|)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ECF97E0-2643-B193-525D-59BF72068FBF}"/>
                </a:ext>
              </a:extLst>
            </xdr:cNvPr>
            <xdr:cNvSpPr txBox="1"/>
          </xdr:nvSpPr>
          <xdr:spPr>
            <a:xfrm>
              <a:off x="13849350" y="425450"/>
              <a:ext cx="2511393" cy="198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ℓ</a:t>
              </a:r>
              <a:r>
                <a:rPr lang="de-D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(𝑄_𝜃 (𝑠_𝑡,𝑎_𝑡^𝑑 ), 𝑄_¯𝜃 (𝑠_𝑡,𝑎_𝑡^𝑑 )+𝛼_𝑖 |𝑄_¯𝜃 (𝑠_𝑡,𝑎_𝑡^𝑑)|)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FDFD-4DB9-A14C-A61C-2EE504E7C00B}">
  <dimension ref="A1:AQ36"/>
  <sheetViews>
    <sheetView zoomScale="80" zoomScaleNormal="80" workbookViewId="0">
      <selection activeCell="J43" sqref="J43"/>
    </sheetView>
  </sheetViews>
  <sheetFormatPr baseColWidth="10" defaultRowHeight="16" outlineLevelRow="1" x14ac:dyDescent="0.2"/>
  <cols>
    <col min="1" max="1" width="3.5" customWidth="1"/>
    <col min="2" max="2" width="7.5" style="1" customWidth="1"/>
    <col min="3" max="3" width="6" bestFit="1" customWidth="1"/>
    <col min="4" max="4" width="5.6640625" style="4" customWidth="1"/>
    <col min="5" max="5" width="12" customWidth="1"/>
    <col min="6" max="6" width="12.1640625" customWidth="1"/>
    <col min="7" max="7" width="5.83203125" customWidth="1"/>
    <col min="8" max="8" width="5.1640625" customWidth="1"/>
    <col min="9" max="9" width="5.33203125" customWidth="1"/>
    <col min="10" max="10" width="12" customWidth="1"/>
    <col min="11" max="11" width="8" style="4" customWidth="1"/>
    <col min="12" max="12" width="3.6640625" style="1" customWidth="1"/>
    <col min="13" max="13" width="4.1640625" customWidth="1"/>
    <col min="14" max="14" width="4.1640625" style="4" customWidth="1"/>
    <col min="15" max="15" width="6.33203125" style="1" customWidth="1"/>
    <col min="16" max="16" width="7" style="4" customWidth="1"/>
    <col min="17" max="17" width="6.83203125" style="1" customWidth="1"/>
    <col min="18" max="18" width="7" style="4" customWidth="1"/>
    <col min="19" max="19" width="5" style="1" customWidth="1"/>
    <col min="20" max="20" width="5.83203125" style="4" customWidth="1"/>
    <col min="21" max="21" width="8.1640625" style="1" customWidth="1"/>
    <col min="22" max="22" width="7.6640625" style="4" customWidth="1"/>
    <col min="23" max="23" width="3" style="1" customWidth="1"/>
    <col min="24" max="24" width="3.5" customWidth="1"/>
    <col min="25" max="25" width="3.5" style="4" customWidth="1"/>
    <col min="26" max="26" width="5.5" style="1" customWidth="1"/>
    <col min="27" max="27" width="6.1640625" style="4" customWidth="1"/>
    <col min="28" max="28" width="6.83203125" style="1" customWidth="1"/>
    <col min="29" max="29" width="8" style="4" customWidth="1"/>
    <col min="30" max="30" width="4.83203125" style="1" customWidth="1"/>
    <col min="31" max="31" width="5.33203125" style="4" customWidth="1"/>
    <col min="32" max="32" width="3.5" style="1" customWidth="1"/>
    <col min="33" max="33" width="3.83203125" style="4" customWidth="1"/>
    <col min="34" max="34" width="5.33203125" style="1" customWidth="1"/>
    <col min="35" max="35" width="5.5" customWidth="1"/>
    <col min="36" max="36" width="5.33203125" customWidth="1"/>
    <col min="37" max="37" width="5.83203125" style="4" customWidth="1"/>
    <col min="38" max="38" width="5.6640625" style="1" customWidth="1"/>
    <col min="39" max="39" width="5.83203125" customWidth="1"/>
    <col min="40" max="40" width="5.83203125" style="4" customWidth="1"/>
  </cols>
  <sheetData>
    <row r="1" spans="1:43" x14ac:dyDescent="0.2">
      <c r="A1" s="5"/>
      <c r="B1" s="20" t="s">
        <v>26</v>
      </c>
      <c r="C1" s="22"/>
      <c r="D1" s="21"/>
      <c r="E1" s="22" t="s">
        <v>1</v>
      </c>
      <c r="F1" s="22"/>
      <c r="G1" s="22"/>
      <c r="H1" s="22"/>
      <c r="I1" s="22"/>
      <c r="J1" s="22"/>
      <c r="K1" s="21"/>
      <c r="L1" s="20" t="s">
        <v>4</v>
      </c>
      <c r="M1" s="22"/>
      <c r="N1" s="21"/>
      <c r="O1" s="20" t="s">
        <v>5</v>
      </c>
      <c r="P1" s="21"/>
      <c r="Q1" s="20" t="s">
        <v>10</v>
      </c>
      <c r="R1" s="21"/>
      <c r="S1" s="20" t="s">
        <v>11</v>
      </c>
      <c r="T1" s="21"/>
      <c r="U1" s="20" t="s">
        <v>15</v>
      </c>
      <c r="V1" s="21"/>
      <c r="W1" s="20" t="s">
        <v>17</v>
      </c>
      <c r="X1" s="22"/>
      <c r="Y1" s="21"/>
      <c r="Z1" s="20" t="s">
        <v>18</v>
      </c>
      <c r="AA1" s="21"/>
      <c r="AB1" s="20" t="s">
        <v>19</v>
      </c>
      <c r="AC1" s="21"/>
      <c r="AD1" s="20" t="s">
        <v>24</v>
      </c>
      <c r="AE1" s="21"/>
      <c r="AF1" s="20" t="s">
        <v>20</v>
      </c>
      <c r="AG1" s="21"/>
      <c r="AH1" s="20" t="s">
        <v>23</v>
      </c>
      <c r="AI1" s="22"/>
      <c r="AJ1" s="22"/>
      <c r="AK1" s="21"/>
      <c r="AL1" s="20" t="s">
        <v>25</v>
      </c>
      <c r="AM1" s="22"/>
      <c r="AN1" s="21"/>
      <c r="AO1" t="s">
        <v>0</v>
      </c>
    </row>
    <row r="2" spans="1:43" x14ac:dyDescent="0.2">
      <c r="A2" s="5" t="s">
        <v>8</v>
      </c>
      <c r="B2" s="1" t="s">
        <v>27</v>
      </c>
      <c r="C2" t="s">
        <v>28</v>
      </c>
      <c r="D2" s="4" t="s">
        <v>29</v>
      </c>
      <c r="E2" t="s">
        <v>2</v>
      </c>
      <c r="F2" t="s">
        <v>3</v>
      </c>
      <c r="G2" s="19" t="s">
        <v>30</v>
      </c>
      <c r="H2" s="19"/>
      <c r="I2" s="19"/>
      <c r="J2" s="2" t="s">
        <v>14</v>
      </c>
      <c r="K2" s="3" t="s">
        <v>16</v>
      </c>
      <c r="L2" s="1">
        <v>1</v>
      </c>
      <c r="M2">
        <v>10</v>
      </c>
      <c r="N2" s="4">
        <v>20</v>
      </c>
      <c r="O2" s="1" t="s">
        <v>6</v>
      </c>
      <c r="P2" s="4" t="s">
        <v>7</v>
      </c>
      <c r="Q2" s="1" t="s">
        <v>6</v>
      </c>
      <c r="R2" s="4" t="s">
        <v>7</v>
      </c>
      <c r="S2" s="1" t="s">
        <v>12</v>
      </c>
      <c r="T2" s="4" t="s">
        <v>13</v>
      </c>
      <c r="U2" s="1" t="s">
        <v>6</v>
      </c>
      <c r="V2" s="4" t="s">
        <v>7</v>
      </c>
      <c r="W2" s="1">
        <v>2</v>
      </c>
      <c r="X2">
        <v>3</v>
      </c>
      <c r="Y2" s="4">
        <v>4</v>
      </c>
      <c r="Z2" s="1">
        <v>256</v>
      </c>
      <c r="AA2" s="4">
        <v>1024</v>
      </c>
      <c r="AB2" s="1" t="s">
        <v>6</v>
      </c>
      <c r="AC2" s="4" t="s">
        <v>7</v>
      </c>
      <c r="AD2" s="1" t="s">
        <v>6</v>
      </c>
      <c r="AE2" s="4" t="s">
        <v>7</v>
      </c>
      <c r="AF2" s="1" t="s">
        <v>21</v>
      </c>
      <c r="AG2" s="4" t="s">
        <v>22</v>
      </c>
      <c r="AH2" s="1">
        <v>0.96</v>
      </c>
      <c r="AI2">
        <v>0.97</v>
      </c>
      <c r="AJ2">
        <v>0.98</v>
      </c>
      <c r="AK2" s="4">
        <v>0.99</v>
      </c>
      <c r="AL2" s="1">
        <v>0.5</v>
      </c>
      <c r="AM2">
        <v>1</v>
      </c>
      <c r="AN2" s="4">
        <v>1.5</v>
      </c>
    </row>
    <row r="3" spans="1:43" x14ac:dyDescent="0.2">
      <c r="A3" s="6"/>
      <c r="B3" s="6"/>
      <c r="C3" s="7"/>
      <c r="D3" s="8"/>
      <c r="E3" s="7"/>
      <c r="F3" s="7"/>
      <c r="G3" s="7">
        <v>0.25</v>
      </c>
      <c r="H3" s="7">
        <v>0.5</v>
      </c>
      <c r="I3" s="7">
        <v>0.75</v>
      </c>
      <c r="J3" s="7"/>
      <c r="K3" s="8"/>
      <c r="L3" s="6"/>
      <c r="M3" s="7"/>
      <c r="N3" s="8"/>
      <c r="O3" s="6"/>
      <c r="P3" s="8"/>
      <c r="Q3" s="6"/>
      <c r="R3" s="8"/>
      <c r="S3" s="6"/>
      <c r="T3" s="8"/>
      <c r="U3" s="6"/>
      <c r="V3" s="8"/>
      <c r="W3" s="6"/>
      <c r="X3" s="7"/>
      <c r="Y3" s="8"/>
      <c r="Z3" s="6"/>
      <c r="AA3" s="8"/>
      <c r="AB3" s="6"/>
      <c r="AC3" s="8"/>
      <c r="AD3" s="6"/>
      <c r="AE3" s="8"/>
      <c r="AF3" s="6"/>
      <c r="AG3" s="8"/>
      <c r="AH3" s="6"/>
      <c r="AI3" s="7"/>
      <c r="AJ3" s="7"/>
      <c r="AK3" s="8"/>
      <c r="AL3" s="6"/>
      <c r="AM3" s="7"/>
      <c r="AN3" s="8"/>
    </row>
    <row r="4" spans="1:43" x14ac:dyDescent="0.2">
      <c r="A4">
        <v>1</v>
      </c>
      <c r="B4" s="1" t="s">
        <v>9</v>
      </c>
      <c r="E4" t="s">
        <v>9</v>
      </c>
      <c r="L4" s="1" t="s">
        <v>9</v>
      </c>
      <c r="P4" s="4" t="s">
        <v>9</v>
      </c>
      <c r="R4" s="4" t="s">
        <v>9</v>
      </c>
      <c r="S4" s="1" t="s">
        <v>9</v>
      </c>
      <c r="V4" s="4" t="s">
        <v>9</v>
      </c>
      <c r="W4" s="1" t="s">
        <v>9</v>
      </c>
      <c r="Z4" s="1" t="s">
        <v>9</v>
      </c>
      <c r="AC4" s="4" t="s">
        <v>9</v>
      </c>
      <c r="AE4" s="4" t="s">
        <v>9</v>
      </c>
      <c r="AG4" s="4" t="s">
        <v>9</v>
      </c>
      <c r="AK4" s="4" t="s">
        <v>9</v>
      </c>
      <c r="AM4" t="s">
        <v>9</v>
      </c>
    </row>
    <row r="5" spans="1:43" x14ac:dyDescent="0.2">
      <c r="A5">
        <v>2</v>
      </c>
      <c r="B5" s="1" t="s">
        <v>9</v>
      </c>
      <c r="E5" t="s">
        <v>9</v>
      </c>
      <c r="L5" s="1" t="s">
        <v>9</v>
      </c>
      <c r="P5" s="4" t="s">
        <v>9</v>
      </c>
      <c r="R5" s="4" t="s">
        <v>9</v>
      </c>
      <c r="S5" s="1" t="s">
        <v>9</v>
      </c>
      <c r="V5" s="4" t="s">
        <v>9</v>
      </c>
      <c r="X5" t="s">
        <v>9</v>
      </c>
      <c r="Z5" s="1" t="s">
        <v>9</v>
      </c>
      <c r="AC5" s="4" t="s">
        <v>9</v>
      </c>
      <c r="AE5" s="4" t="s">
        <v>9</v>
      </c>
      <c r="AG5" s="4" t="s">
        <v>9</v>
      </c>
      <c r="AK5" s="4" t="s">
        <v>9</v>
      </c>
      <c r="AM5" t="s">
        <v>9</v>
      </c>
      <c r="AO5">
        <f>A4</f>
        <v>1</v>
      </c>
      <c r="AP5">
        <v>0</v>
      </c>
    </row>
    <row r="6" spans="1:43" x14ac:dyDescent="0.2">
      <c r="A6">
        <v>3</v>
      </c>
      <c r="B6" s="1" t="s">
        <v>9</v>
      </c>
      <c r="E6" t="s">
        <v>9</v>
      </c>
      <c r="M6" t="s">
        <v>9</v>
      </c>
      <c r="P6" s="4" t="s">
        <v>9</v>
      </c>
      <c r="R6" s="4" t="s">
        <v>9</v>
      </c>
      <c r="S6" s="1" t="s">
        <v>9</v>
      </c>
      <c r="V6" s="4" t="s">
        <v>9</v>
      </c>
      <c r="W6" s="1" t="s">
        <v>9</v>
      </c>
      <c r="Z6" s="1" t="s">
        <v>9</v>
      </c>
      <c r="AC6" s="4" t="s">
        <v>9</v>
      </c>
      <c r="AE6" s="4" t="s">
        <v>9</v>
      </c>
      <c r="AG6" s="4" t="s">
        <v>9</v>
      </c>
      <c r="AK6" s="4" t="s">
        <v>9</v>
      </c>
      <c r="AM6" t="s">
        <v>9</v>
      </c>
      <c r="AO6">
        <f>A4</f>
        <v>1</v>
      </c>
      <c r="AP6">
        <v>1</v>
      </c>
    </row>
    <row r="7" spans="1:43" x14ac:dyDescent="0.2">
      <c r="A7">
        <v>4</v>
      </c>
      <c r="B7" s="1" t="s">
        <v>9</v>
      </c>
      <c r="E7" t="s">
        <v>9</v>
      </c>
      <c r="N7" s="4" t="s">
        <v>9</v>
      </c>
      <c r="P7" s="4" t="s">
        <v>9</v>
      </c>
      <c r="R7" s="4" t="s">
        <v>9</v>
      </c>
      <c r="S7" s="1" t="s">
        <v>9</v>
      </c>
      <c r="V7" s="4" t="s">
        <v>9</v>
      </c>
      <c r="W7" s="1" t="s">
        <v>9</v>
      </c>
      <c r="Z7" s="1" t="s">
        <v>9</v>
      </c>
      <c r="AC7" s="4" t="s">
        <v>9</v>
      </c>
      <c r="AE7" s="4" t="s">
        <v>9</v>
      </c>
      <c r="AG7" s="4" t="s">
        <v>9</v>
      </c>
      <c r="AK7" s="4" t="s">
        <v>9</v>
      </c>
      <c r="AM7" t="s">
        <v>9</v>
      </c>
      <c r="AO7">
        <f>A6</f>
        <v>3</v>
      </c>
      <c r="AP7">
        <v>1</v>
      </c>
    </row>
    <row r="8" spans="1:43" x14ac:dyDescent="0.2">
      <c r="A8">
        <v>5</v>
      </c>
      <c r="C8" t="s">
        <v>9</v>
      </c>
      <c r="E8" t="s">
        <v>9</v>
      </c>
      <c r="N8" s="4" t="s">
        <v>9</v>
      </c>
      <c r="P8" s="4" t="s">
        <v>9</v>
      </c>
      <c r="R8" s="4" t="s">
        <v>9</v>
      </c>
      <c r="S8" s="1" t="s">
        <v>9</v>
      </c>
      <c r="V8" s="4" t="s">
        <v>9</v>
      </c>
      <c r="W8" s="1" t="s">
        <v>9</v>
      </c>
      <c r="Z8" s="1" t="s">
        <v>9</v>
      </c>
      <c r="AC8" s="4" t="s">
        <v>9</v>
      </c>
      <c r="AE8" s="4" t="s">
        <v>9</v>
      </c>
      <c r="AG8" s="4" t="s">
        <v>9</v>
      </c>
      <c r="AK8" s="4" t="s">
        <v>9</v>
      </c>
      <c r="AM8" t="s">
        <v>9</v>
      </c>
      <c r="AO8">
        <f>A7</f>
        <v>4</v>
      </c>
      <c r="AP8">
        <v>-1</v>
      </c>
    </row>
    <row r="9" spans="1:43" x14ac:dyDescent="0.2">
      <c r="A9">
        <v>6</v>
      </c>
      <c r="C9" t="s">
        <v>9</v>
      </c>
      <c r="E9" t="s">
        <v>9</v>
      </c>
      <c r="N9" s="4" t="s">
        <v>9</v>
      </c>
      <c r="O9" s="1" t="s">
        <v>9</v>
      </c>
      <c r="R9" s="4" t="s">
        <v>9</v>
      </c>
      <c r="S9" s="1" t="s">
        <v>9</v>
      </c>
      <c r="V9" s="4" t="s">
        <v>9</v>
      </c>
      <c r="W9" s="1" t="s">
        <v>9</v>
      </c>
      <c r="Z9" s="1" t="s">
        <v>9</v>
      </c>
      <c r="AC9" s="4" t="s">
        <v>9</v>
      </c>
      <c r="AE9" s="4" t="s">
        <v>9</v>
      </c>
      <c r="AG9" s="4" t="s">
        <v>9</v>
      </c>
      <c r="AK9" s="4" t="s">
        <v>9</v>
      </c>
      <c r="AM9" t="s">
        <v>9</v>
      </c>
      <c r="AO9">
        <f>A8</f>
        <v>5</v>
      </c>
      <c r="AP9">
        <v>0</v>
      </c>
    </row>
    <row r="10" spans="1:43" x14ac:dyDescent="0.2">
      <c r="A10">
        <v>7</v>
      </c>
      <c r="C10" t="s">
        <v>9</v>
      </c>
      <c r="E10" t="s">
        <v>9</v>
      </c>
      <c r="N10" s="4" t="s">
        <v>9</v>
      </c>
      <c r="O10" s="1" t="s">
        <v>9</v>
      </c>
      <c r="R10" s="4" t="s">
        <v>9</v>
      </c>
      <c r="T10" s="4" t="s">
        <v>9</v>
      </c>
      <c r="V10" s="4" t="s">
        <v>9</v>
      </c>
      <c r="W10" s="1" t="s">
        <v>9</v>
      </c>
      <c r="Z10" s="1" t="s">
        <v>9</v>
      </c>
      <c r="AC10" s="4" t="s">
        <v>9</v>
      </c>
      <c r="AE10" s="4" t="s">
        <v>9</v>
      </c>
      <c r="AG10" s="4" t="s">
        <v>9</v>
      </c>
      <c r="AK10" s="4" t="s">
        <v>9</v>
      </c>
      <c r="AM10" t="s">
        <v>9</v>
      </c>
      <c r="AO10">
        <f>A9</f>
        <v>6</v>
      </c>
      <c r="AP10">
        <v>1</v>
      </c>
    </row>
    <row r="11" spans="1:43" x14ac:dyDescent="0.2">
      <c r="A11">
        <v>8</v>
      </c>
      <c r="C11" t="s">
        <v>9</v>
      </c>
      <c r="J11" t="s">
        <v>9</v>
      </c>
      <c r="N11" s="4" t="s">
        <v>9</v>
      </c>
      <c r="O11" s="1" t="s">
        <v>9</v>
      </c>
      <c r="R11" s="4" t="s">
        <v>9</v>
      </c>
      <c r="T11" s="4" t="s">
        <v>9</v>
      </c>
      <c r="V11" s="4" t="s">
        <v>9</v>
      </c>
      <c r="W11" s="1" t="s">
        <v>9</v>
      </c>
      <c r="Z11" s="1" t="s">
        <v>9</v>
      </c>
      <c r="AC11" s="4" t="s">
        <v>9</v>
      </c>
      <c r="AE11" s="4" t="s">
        <v>9</v>
      </c>
      <c r="AG11" s="4" t="s">
        <v>9</v>
      </c>
      <c r="AK11" s="4" t="s">
        <v>9</v>
      </c>
      <c r="AM11" t="s">
        <v>9</v>
      </c>
      <c r="AO11">
        <f>A10</f>
        <v>7</v>
      </c>
      <c r="AP11">
        <v>0</v>
      </c>
      <c r="AQ11" t="s">
        <v>31</v>
      </c>
    </row>
    <row r="12" spans="1:43" x14ac:dyDescent="0.2">
      <c r="A12">
        <v>9</v>
      </c>
      <c r="B12" s="1" t="s">
        <v>9</v>
      </c>
      <c r="E12" t="s">
        <v>9</v>
      </c>
      <c r="N12" s="4" t="s">
        <v>9</v>
      </c>
      <c r="O12" s="1" t="s">
        <v>9</v>
      </c>
      <c r="R12" s="4" t="s">
        <v>9</v>
      </c>
      <c r="T12" s="4" t="s">
        <v>9</v>
      </c>
      <c r="V12" s="4" t="s">
        <v>9</v>
      </c>
      <c r="W12" s="1" t="s">
        <v>9</v>
      </c>
      <c r="Z12" s="1" t="s">
        <v>9</v>
      </c>
      <c r="AC12" s="4" t="s">
        <v>9</v>
      </c>
      <c r="AE12" s="4" t="s">
        <v>9</v>
      </c>
      <c r="AG12" s="4" t="s">
        <v>9</v>
      </c>
      <c r="AK12" s="4" t="s">
        <v>9</v>
      </c>
      <c r="AM12" t="s">
        <v>9</v>
      </c>
      <c r="AO12">
        <f>A4</f>
        <v>1</v>
      </c>
      <c r="AP12">
        <v>1</v>
      </c>
    </row>
    <row r="13" spans="1:43" x14ac:dyDescent="0.2">
      <c r="A13">
        <v>10</v>
      </c>
      <c r="D13" s="4" t="s">
        <v>9</v>
      </c>
      <c r="E13" t="s">
        <v>9</v>
      </c>
      <c r="N13" s="4" t="s">
        <v>9</v>
      </c>
      <c r="O13" s="1" t="s">
        <v>9</v>
      </c>
      <c r="R13" s="4" t="s">
        <v>9</v>
      </c>
      <c r="T13" s="4" t="s">
        <v>9</v>
      </c>
      <c r="V13" s="4" t="s">
        <v>9</v>
      </c>
      <c r="W13" s="1" t="s">
        <v>9</v>
      </c>
      <c r="Z13" s="1" t="s">
        <v>9</v>
      </c>
      <c r="AC13" s="4" t="s">
        <v>9</v>
      </c>
      <c r="AE13" s="4" t="s">
        <v>9</v>
      </c>
      <c r="AG13" s="4" t="s">
        <v>9</v>
      </c>
      <c r="AK13" s="4" t="s">
        <v>9</v>
      </c>
      <c r="AM13" t="s">
        <v>9</v>
      </c>
      <c r="AO13">
        <f>A12</f>
        <v>9</v>
      </c>
      <c r="AP13">
        <v>0</v>
      </c>
    </row>
    <row r="14" spans="1:43" x14ac:dyDescent="0.2">
      <c r="A14">
        <v>11</v>
      </c>
      <c r="D14" s="4" t="s">
        <v>9</v>
      </c>
      <c r="K14" s="4" t="s">
        <v>9</v>
      </c>
      <c r="N14" s="4" t="s">
        <v>9</v>
      </c>
      <c r="O14" s="1" t="s">
        <v>9</v>
      </c>
      <c r="R14" s="4" t="s">
        <v>9</v>
      </c>
      <c r="T14" s="4" t="s">
        <v>9</v>
      </c>
      <c r="V14" s="4" t="s">
        <v>9</v>
      </c>
      <c r="W14" s="1" t="s">
        <v>9</v>
      </c>
      <c r="Z14" s="1" t="s">
        <v>9</v>
      </c>
      <c r="AC14" s="4" t="s">
        <v>9</v>
      </c>
      <c r="AE14" s="4" t="s">
        <v>9</v>
      </c>
      <c r="AG14" s="4" t="s">
        <v>9</v>
      </c>
      <c r="AK14" s="4" t="s">
        <v>9</v>
      </c>
      <c r="AM14" t="s">
        <v>9</v>
      </c>
      <c r="AO14">
        <f>A$13</f>
        <v>10</v>
      </c>
      <c r="AP14">
        <v>-1</v>
      </c>
    </row>
    <row r="15" spans="1:43" x14ac:dyDescent="0.2">
      <c r="A15">
        <v>12</v>
      </c>
      <c r="D15" s="4" t="s">
        <v>9</v>
      </c>
      <c r="E15" t="s">
        <v>9</v>
      </c>
      <c r="N15" s="4" t="s">
        <v>9</v>
      </c>
      <c r="O15" s="1" t="s">
        <v>9</v>
      </c>
      <c r="R15" s="4" t="s">
        <v>9</v>
      </c>
      <c r="T15" s="4" t="s">
        <v>9</v>
      </c>
      <c r="V15" s="4" t="s">
        <v>9</v>
      </c>
      <c r="Y15" s="4" t="s">
        <v>9</v>
      </c>
      <c r="Z15" s="1" t="s">
        <v>9</v>
      </c>
      <c r="AC15" s="4" t="s">
        <v>9</v>
      </c>
      <c r="AE15" s="4" t="s">
        <v>9</v>
      </c>
      <c r="AG15" s="4" t="s">
        <v>9</v>
      </c>
      <c r="AK15" s="4" t="s">
        <v>9</v>
      </c>
      <c r="AM15" t="s">
        <v>9</v>
      </c>
      <c r="AO15">
        <f t="shared" ref="AO15:AO20" si="0">A$13</f>
        <v>10</v>
      </c>
      <c r="AP15">
        <v>0</v>
      </c>
    </row>
    <row r="16" spans="1:43" x14ac:dyDescent="0.2">
      <c r="A16">
        <v>13</v>
      </c>
      <c r="D16" s="4" t="s">
        <v>9</v>
      </c>
      <c r="E16" t="s">
        <v>9</v>
      </c>
      <c r="N16" s="4" t="s">
        <v>9</v>
      </c>
      <c r="O16" s="1" t="s">
        <v>9</v>
      </c>
      <c r="R16" s="4" t="s">
        <v>9</v>
      </c>
      <c r="T16" s="4" t="s">
        <v>9</v>
      </c>
      <c r="V16" s="4" t="s">
        <v>9</v>
      </c>
      <c r="W16" s="1" t="s">
        <v>9</v>
      </c>
      <c r="AA16" s="4" t="s">
        <v>9</v>
      </c>
      <c r="AC16" s="4" t="s">
        <v>9</v>
      </c>
      <c r="AE16" s="4" t="s">
        <v>9</v>
      </c>
      <c r="AG16" s="4" t="s">
        <v>9</v>
      </c>
      <c r="AK16" s="4" t="s">
        <v>9</v>
      </c>
      <c r="AM16" t="s">
        <v>9</v>
      </c>
      <c r="AO16">
        <f t="shared" si="0"/>
        <v>10</v>
      </c>
      <c r="AP16">
        <v>0</v>
      </c>
    </row>
    <row r="17" spans="1:42" x14ac:dyDescent="0.2">
      <c r="A17">
        <v>14</v>
      </c>
      <c r="D17" s="4" t="s">
        <v>9</v>
      </c>
      <c r="E17" t="s">
        <v>9</v>
      </c>
      <c r="N17" s="4" t="s">
        <v>9</v>
      </c>
      <c r="O17" s="1" t="s">
        <v>9</v>
      </c>
      <c r="R17" s="4" t="s">
        <v>9</v>
      </c>
      <c r="T17" s="4" t="s">
        <v>9</v>
      </c>
      <c r="V17" s="4" t="s">
        <v>9</v>
      </c>
      <c r="W17" s="1" t="s">
        <v>9</v>
      </c>
      <c r="Z17" s="1" t="s">
        <v>9</v>
      </c>
      <c r="AB17" s="1" t="s">
        <v>9</v>
      </c>
      <c r="AE17" s="4" t="s">
        <v>9</v>
      </c>
      <c r="AG17" s="4" t="s">
        <v>9</v>
      </c>
      <c r="AK17" s="4" t="s">
        <v>9</v>
      </c>
      <c r="AM17" t="s">
        <v>9</v>
      </c>
      <c r="AO17">
        <f t="shared" si="0"/>
        <v>10</v>
      </c>
      <c r="AP17">
        <v>0</v>
      </c>
    </row>
    <row r="18" spans="1:42" x14ac:dyDescent="0.2">
      <c r="A18">
        <v>15</v>
      </c>
      <c r="D18" s="4" t="s">
        <v>9</v>
      </c>
      <c r="E18" t="s">
        <v>9</v>
      </c>
      <c r="N18" s="4" t="s">
        <v>9</v>
      </c>
      <c r="O18" s="1" t="s">
        <v>9</v>
      </c>
      <c r="R18" s="4" t="s">
        <v>9</v>
      </c>
      <c r="T18" s="4" t="s">
        <v>9</v>
      </c>
      <c r="V18" s="4" t="s">
        <v>9</v>
      </c>
      <c r="W18" s="1" t="s">
        <v>9</v>
      </c>
      <c r="Z18" s="1" t="s">
        <v>9</v>
      </c>
      <c r="AC18" s="4" t="s">
        <v>9</v>
      </c>
      <c r="AD18" s="1" t="s">
        <v>9</v>
      </c>
      <c r="AG18" s="4" t="s">
        <v>9</v>
      </c>
      <c r="AK18" s="4" t="s">
        <v>9</v>
      </c>
      <c r="AM18" t="s">
        <v>9</v>
      </c>
      <c r="AO18">
        <f t="shared" si="0"/>
        <v>10</v>
      </c>
      <c r="AP18">
        <v>0</v>
      </c>
    </row>
    <row r="19" spans="1:42" x14ac:dyDescent="0.2">
      <c r="A19">
        <v>16</v>
      </c>
      <c r="D19" s="4" t="s">
        <v>9</v>
      </c>
      <c r="E19" t="s">
        <v>9</v>
      </c>
      <c r="N19" s="4" t="s">
        <v>9</v>
      </c>
      <c r="O19" s="1" t="s">
        <v>9</v>
      </c>
      <c r="R19" s="4" t="s">
        <v>9</v>
      </c>
      <c r="T19" s="4" t="s">
        <v>9</v>
      </c>
      <c r="U19" s="1" t="s">
        <v>9</v>
      </c>
      <c r="W19" s="1" t="s">
        <v>9</v>
      </c>
      <c r="Z19" s="1" t="s">
        <v>9</v>
      </c>
      <c r="AC19" s="4" t="s">
        <v>9</v>
      </c>
      <c r="AE19" s="4" t="s">
        <v>9</v>
      </c>
      <c r="AG19" s="4" t="s">
        <v>9</v>
      </c>
      <c r="AK19" s="4" t="s">
        <v>9</v>
      </c>
      <c r="AM19" t="s">
        <v>9</v>
      </c>
      <c r="AO19">
        <f t="shared" si="0"/>
        <v>10</v>
      </c>
      <c r="AP19">
        <v>0</v>
      </c>
    </row>
    <row r="20" spans="1:42" x14ac:dyDescent="0.2">
      <c r="A20">
        <v>17</v>
      </c>
      <c r="D20" s="4" t="s">
        <v>9</v>
      </c>
      <c r="E20" t="s">
        <v>9</v>
      </c>
      <c r="N20" s="4" t="s">
        <v>9</v>
      </c>
      <c r="O20" s="1" t="s">
        <v>9</v>
      </c>
      <c r="Q20" s="1" t="s">
        <v>9</v>
      </c>
      <c r="T20" s="4" t="s">
        <v>9</v>
      </c>
      <c r="V20" s="4" t="s">
        <v>9</v>
      </c>
      <c r="W20" s="1" t="s">
        <v>9</v>
      </c>
      <c r="Z20" s="1" t="s">
        <v>9</v>
      </c>
      <c r="AC20" s="4" t="s">
        <v>9</v>
      </c>
      <c r="AE20" s="4" t="s">
        <v>9</v>
      </c>
      <c r="AG20" s="4" t="s">
        <v>9</v>
      </c>
      <c r="AK20" s="4" t="s">
        <v>9</v>
      </c>
      <c r="AM20" t="s">
        <v>9</v>
      </c>
      <c r="AO20">
        <f t="shared" si="0"/>
        <v>10</v>
      </c>
      <c r="AP20">
        <v>1</v>
      </c>
    </row>
    <row r="21" spans="1:42" x14ac:dyDescent="0.2">
      <c r="A21">
        <v>18</v>
      </c>
      <c r="D21" s="4" t="s">
        <v>9</v>
      </c>
      <c r="E21" t="s">
        <v>9</v>
      </c>
      <c r="N21" s="4" t="s">
        <v>9</v>
      </c>
      <c r="O21" s="1" t="s">
        <v>9</v>
      </c>
      <c r="Q21" s="1" t="s">
        <v>9</v>
      </c>
      <c r="T21" s="4" t="s">
        <v>9</v>
      </c>
      <c r="V21" s="4" t="s">
        <v>9</v>
      </c>
      <c r="W21" s="1" t="s">
        <v>9</v>
      </c>
      <c r="AA21" s="4" t="s">
        <v>9</v>
      </c>
      <c r="AC21" s="4" t="s">
        <v>9</v>
      </c>
      <c r="AE21" s="4" t="s">
        <v>9</v>
      </c>
      <c r="AG21" s="4" t="s">
        <v>9</v>
      </c>
      <c r="AK21" s="4" t="s">
        <v>9</v>
      </c>
      <c r="AM21" t="s">
        <v>9</v>
      </c>
      <c r="AO21">
        <f>A20</f>
        <v>17</v>
      </c>
      <c r="AP21">
        <v>-1</v>
      </c>
    </row>
    <row r="22" spans="1:42" x14ac:dyDescent="0.2">
      <c r="A22">
        <v>19</v>
      </c>
      <c r="D22" s="4" t="s">
        <v>9</v>
      </c>
      <c r="E22" t="s">
        <v>9</v>
      </c>
      <c r="N22" s="4" t="s">
        <v>9</v>
      </c>
      <c r="O22" s="1" t="s">
        <v>9</v>
      </c>
      <c r="Q22" s="1" t="s">
        <v>9</v>
      </c>
      <c r="T22" s="4" t="s">
        <v>9</v>
      </c>
      <c r="V22" s="4" t="s">
        <v>9</v>
      </c>
      <c r="W22" s="1" t="s">
        <v>9</v>
      </c>
      <c r="Z22" s="1" t="s">
        <v>9</v>
      </c>
      <c r="AC22" s="4" t="s">
        <v>9</v>
      </c>
      <c r="AE22" s="4" t="s">
        <v>9</v>
      </c>
      <c r="AG22" s="4" t="s">
        <v>9</v>
      </c>
      <c r="AH22" s="1" t="s">
        <v>9</v>
      </c>
      <c r="AM22" t="s">
        <v>9</v>
      </c>
      <c r="AO22">
        <f>A$20</f>
        <v>17</v>
      </c>
      <c r="AP22">
        <v>0</v>
      </c>
    </row>
    <row r="23" spans="1:42" x14ac:dyDescent="0.2">
      <c r="A23">
        <v>20</v>
      </c>
      <c r="D23" s="4" t="s">
        <v>9</v>
      </c>
      <c r="E23" t="s">
        <v>9</v>
      </c>
      <c r="N23" s="4" t="s">
        <v>9</v>
      </c>
      <c r="O23" s="1" t="s">
        <v>9</v>
      </c>
      <c r="Q23" s="1" t="s">
        <v>9</v>
      </c>
      <c r="T23" s="4" t="s">
        <v>9</v>
      </c>
      <c r="V23" s="4" t="s">
        <v>9</v>
      </c>
      <c r="W23" s="1" t="s">
        <v>9</v>
      </c>
      <c r="Z23" s="1" t="s">
        <v>9</v>
      </c>
      <c r="AC23" s="4" t="s">
        <v>9</v>
      </c>
      <c r="AE23" s="4" t="s">
        <v>9</v>
      </c>
      <c r="AG23" s="4" t="s">
        <v>9</v>
      </c>
      <c r="AI23" t="s">
        <v>9</v>
      </c>
      <c r="AM23" t="s">
        <v>9</v>
      </c>
      <c r="AO23">
        <f t="shared" ref="AO23:AO25" si="1">A$20</f>
        <v>17</v>
      </c>
      <c r="AP23">
        <v>0</v>
      </c>
    </row>
    <row r="24" spans="1:42" x14ac:dyDescent="0.2">
      <c r="A24">
        <v>21</v>
      </c>
      <c r="D24" s="4" t="s">
        <v>9</v>
      </c>
      <c r="E24" t="s">
        <v>9</v>
      </c>
      <c r="N24" s="4" t="s">
        <v>9</v>
      </c>
      <c r="O24" s="1" t="s">
        <v>9</v>
      </c>
      <c r="Q24" s="1" t="s">
        <v>9</v>
      </c>
      <c r="T24" s="4" t="s">
        <v>9</v>
      </c>
      <c r="V24" s="4" t="s">
        <v>9</v>
      </c>
      <c r="W24" s="1" t="s">
        <v>9</v>
      </c>
      <c r="Z24" s="1" t="s">
        <v>9</v>
      </c>
      <c r="AC24" s="4" t="s">
        <v>9</v>
      </c>
      <c r="AE24" s="4" t="s">
        <v>9</v>
      </c>
      <c r="AG24" s="4" t="s">
        <v>9</v>
      </c>
      <c r="AJ24" t="s">
        <v>9</v>
      </c>
      <c r="AM24" t="s">
        <v>9</v>
      </c>
      <c r="AO24">
        <f t="shared" si="1"/>
        <v>17</v>
      </c>
      <c r="AP24">
        <v>0</v>
      </c>
    </row>
    <row r="25" spans="1:42" x14ac:dyDescent="0.2">
      <c r="A25">
        <v>22</v>
      </c>
      <c r="D25" s="4" t="s">
        <v>9</v>
      </c>
      <c r="E25" t="s">
        <v>9</v>
      </c>
      <c r="N25" s="4" t="s">
        <v>9</v>
      </c>
      <c r="O25" s="1" t="s">
        <v>9</v>
      </c>
      <c r="Q25" s="1" t="s">
        <v>9</v>
      </c>
      <c r="T25" s="4" t="s">
        <v>9</v>
      </c>
      <c r="V25" s="4" t="s">
        <v>9</v>
      </c>
      <c r="W25" s="1" t="s">
        <v>9</v>
      </c>
      <c r="Z25" s="1" t="s">
        <v>9</v>
      </c>
      <c r="AC25" s="4" t="s">
        <v>9</v>
      </c>
      <c r="AE25" s="4" t="s">
        <v>9</v>
      </c>
      <c r="AF25" s="1" t="s">
        <v>9</v>
      </c>
      <c r="AK25" s="4" t="s">
        <v>9</v>
      </c>
      <c r="AM25" t="s">
        <v>9</v>
      </c>
      <c r="AO25">
        <f t="shared" si="1"/>
        <v>17</v>
      </c>
      <c r="AP25">
        <v>-1</v>
      </c>
    </row>
    <row r="26" spans="1:42" x14ac:dyDescent="0.2">
      <c r="A26">
        <v>23</v>
      </c>
      <c r="D26" s="4" t="s">
        <v>9</v>
      </c>
      <c r="E26" t="s">
        <v>9</v>
      </c>
      <c r="N26" s="4" t="s">
        <v>9</v>
      </c>
      <c r="O26" s="1" t="s">
        <v>9</v>
      </c>
      <c r="Q26" s="1" t="s">
        <v>9</v>
      </c>
      <c r="T26" s="4" t="s">
        <v>9</v>
      </c>
      <c r="V26" s="4" t="s">
        <v>9</v>
      </c>
      <c r="W26" s="1" t="s">
        <v>9</v>
      </c>
      <c r="Z26" s="1" t="s">
        <v>9</v>
      </c>
      <c r="AC26" s="4" t="s">
        <v>9</v>
      </c>
      <c r="AE26" s="4" t="s">
        <v>9</v>
      </c>
      <c r="AF26" s="1" t="s">
        <v>9</v>
      </c>
      <c r="AH26" s="1" t="s">
        <v>9</v>
      </c>
      <c r="AM26" t="s">
        <v>9</v>
      </c>
      <c r="AO26">
        <f>A$25</f>
        <v>22</v>
      </c>
      <c r="AP26">
        <v>-1</v>
      </c>
    </row>
    <row r="27" spans="1:42" x14ac:dyDescent="0.2">
      <c r="A27">
        <v>24</v>
      </c>
      <c r="D27" s="4" t="s">
        <v>9</v>
      </c>
      <c r="E27" t="s">
        <v>9</v>
      </c>
      <c r="N27" s="4" t="s">
        <v>9</v>
      </c>
      <c r="O27" s="1" t="s">
        <v>9</v>
      </c>
      <c r="Q27" s="1" t="s">
        <v>9</v>
      </c>
      <c r="T27" s="4" t="s">
        <v>9</v>
      </c>
      <c r="V27" s="4" t="s">
        <v>9</v>
      </c>
      <c r="W27" s="1" t="s">
        <v>9</v>
      </c>
      <c r="Z27" s="1" t="s">
        <v>9</v>
      </c>
      <c r="AC27" s="4" t="s">
        <v>9</v>
      </c>
      <c r="AE27" s="4" t="s">
        <v>9</v>
      </c>
      <c r="AF27" s="1" t="s">
        <v>9</v>
      </c>
      <c r="AI27" t="s">
        <v>9</v>
      </c>
      <c r="AM27" t="s">
        <v>9</v>
      </c>
      <c r="AO27">
        <f t="shared" ref="AO27:AO28" si="2">A$25</f>
        <v>22</v>
      </c>
      <c r="AP27">
        <v>0</v>
      </c>
    </row>
    <row r="28" spans="1:42" x14ac:dyDescent="0.2">
      <c r="A28">
        <v>25</v>
      </c>
      <c r="D28" s="4" t="s">
        <v>9</v>
      </c>
      <c r="E28" t="s">
        <v>9</v>
      </c>
      <c r="N28" s="4" t="s">
        <v>9</v>
      </c>
      <c r="O28" s="1" t="s">
        <v>9</v>
      </c>
      <c r="Q28" s="1" t="s">
        <v>9</v>
      </c>
      <c r="T28" s="4" t="s">
        <v>9</v>
      </c>
      <c r="V28" s="4" t="s">
        <v>9</v>
      </c>
      <c r="W28" s="1" t="s">
        <v>9</v>
      </c>
      <c r="Z28" s="1" t="s">
        <v>9</v>
      </c>
      <c r="AC28" s="4" t="s">
        <v>9</v>
      </c>
      <c r="AE28" s="4" t="s">
        <v>9</v>
      </c>
      <c r="AF28" s="1" t="s">
        <v>9</v>
      </c>
      <c r="AJ28" t="s">
        <v>9</v>
      </c>
      <c r="AM28" t="s">
        <v>9</v>
      </c>
      <c r="AO28">
        <f t="shared" si="2"/>
        <v>22</v>
      </c>
      <c r="AP28">
        <v>-1</v>
      </c>
    </row>
    <row r="29" spans="1:42" x14ac:dyDescent="0.2">
      <c r="A29">
        <v>26</v>
      </c>
      <c r="D29" s="4" t="s">
        <v>9</v>
      </c>
      <c r="E29" t="s">
        <v>9</v>
      </c>
      <c r="N29" s="4" t="s">
        <v>9</v>
      </c>
      <c r="O29" s="1" t="s">
        <v>9</v>
      </c>
      <c r="Q29" s="1" t="s">
        <v>9</v>
      </c>
      <c r="T29" s="4" t="s">
        <v>9</v>
      </c>
      <c r="V29" s="4" t="s">
        <v>9</v>
      </c>
      <c r="W29" s="1" t="s">
        <v>9</v>
      </c>
      <c r="Z29" s="1" t="s">
        <v>9</v>
      </c>
      <c r="AC29" s="4" t="s">
        <v>9</v>
      </c>
      <c r="AE29" s="4" t="s">
        <v>9</v>
      </c>
      <c r="AG29" s="4" t="s">
        <v>9</v>
      </c>
      <c r="AK29" s="4" t="s">
        <v>9</v>
      </c>
      <c r="AL29" s="1" t="s">
        <v>9</v>
      </c>
      <c r="AO29">
        <f>A20</f>
        <v>17</v>
      </c>
      <c r="AP29">
        <v>0</v>
      </c>
    </row>
    <row r="30" spans="1:42" x14ac:dyDescent="0.2">
      <c r="A30">
        <v>27</v>
      </c>
      <c r="D30" s="4" t="s">
        <v>9</v>
      </c>
      <c r="E30" t="s">
        <v>9</v>
      </c>
      <c r="N30" s="4" t="s">
        <v>9</v>
      </c>
      <c r="O30" s="1" t="s">
        <v>9</v>
      </c>
      <c r="Q30" s="1" t="s">
        <v>9</v>
      </c>
      <c r="T30" s="4" t="s">
        <v>9</v>
      </c>
      <c r="V30" s="4" t="s">
        <v>9</v>
      </c>
      <c r="W30" s="1" t="s">
        <v>9</v>
      </c>
      <c r="Z30" s="1" t="s">
        <v>9</v>
      </c>
      <c r="AC30" s="4" t="s">
        <v>9</v>
      </c>
      <c r="AE30" s="4" t="s">
        <v>9</v>
      </c>
      <c r="AG30" s="4" t="s">
        <v>9</v>
      </c>
      <c r="AK30" s="4" t="s">
        <v>9</v>
      </c>
      <c r="AN30" s="4" t="s">
        <v>9</v>
      </c>
      <c r="AO30">
        <f>A$20</f>
        <v>17</v>
      </c>
      <c r="AP30">
        <v>1</v>
      </c>
    </row>
    <row r="31" spans="1:42" outlineLevel="1" x14ac:dyDescent="0.2">
      <c r="A31">
        <v>28</v>
      </c>
      <c r="D31" s="4" t="s">
        <v>9</v>
      </c>
      <c r="F31" t="s">
        <v>9</v>
      </c>
      <c r="N31" s="4" t="s">
        <v>9</v>
      </c>
      <c r="O31" s="1" t="s">
        <v>9</v>
      </c>
      <c r="Q31" s="1" t="s">
        <v>9</v>
      </c>
      <c r="T31" s="4" t="s">
        <v>9</v>
      </c>
      <c r="V31" s="4" t="s">
        <v>9</v>
      </c>
      <c r="W31" s="1" t="s">
        <v>9</v>
      </c>
      <c r="Z31" s="1" t="s">
        <v>9</v>
      </c>
      <c r="AC31" s="4" t="s">
        <v>9</v>
      </c>
      <c r="AE31" s="4" t="s">
        <v>9</v>
      </c>
      <c r="AG31" s="4" t="s">
        <v>9</v>
      </c>
      <c r="AK31" s="4" t="s">
        <v>9</v>
      </c>
      <c r="AM31" t="s">
        <v>9</v>
      </c>
      <c r="AO31">
        <f t="shared" ref="AO31" si="3">A$20</f>
        <v>17</v>
      </c>
      <c r="AP31">
        <v>1</v>
      </c>
    </row>
    <row r="32" spans="1:42" x14ac:dyDescent="0.2">
      <c r="A32">
        <v>29</v>
      </c>
      <c r="D32" s="4" t="s">
        <v>9</v>
      </c>
      <c r="G32" t="s">
        <v>9</v>
      </c>
      <c r="N32" s="4" t="s">
        <v>9</v>
      </c>
      <c r="O32" s="1" t="s">
        <v>9</v>
      </c>
      <c r="Q32" s="1" t="s">
        <v>9</v>
      </c>
      <c r="T32" s="4" t="s">
        <v>9</v>
      </c>
      <c r="V32" s="4" t="s">
        <v>9</v>
      </c>
      <c r="W32" s="1" t="s">
        <v>9</v>
      </c>
      <c r="Z32" s="1" t="s">
        <v>9</v>
      </c>
      <c r="AC32" s="4" t="s">
        <v>9</v>
      </c>
      <c r="AE32" s="4" t="s">
        <v>9</v>
      </c>
      <c r="AG32" s="4" t="s">
        <v>9</v>
      </c>
      <c r="AK32" s="4" t="s">
        <v>9</v>
      </c>
      <c r="AM32" t="s">
        <v>9</v>
      </c>
      <c r="AO32">
        <f>A31</f>
        <v>28</v>
      </c>
      <c r="AP32">
        <v>0</v>
      </c>
    </row>
    <row r="33" spans="1:42" x14ac:dyDescent="0.2">
      <c r="A33">
        <v>30</v>
      </c>
      <c r="D33" s="4" t="s">
        <v>9</v>
      </c>
      <c r="H33" t="s">
        <v>9</v>
      </c>
      <c r="N33" s="4" t="s">
        <v>9</v>
      </c>
      <c r="O33" s="1" t="s">
        <v>9</v>
      </c>
      <c r="Q33" s="1" t="s">
        <v>9</v>
      </c>
      <c r="T33" s="4" t="s">
        <v>9</v>
      </c>
      <c r="V33" s="4" t="s">
        <v>9</v>
      </c>
      <c r="W33" s="1" t="s">
        <v>9</v>
      </c>
      <c r="Z33" s="1" t="s">
        <v>9</v>
      </c>
      <c r="AC33" s="4" t="s">
        <v>9</v>
      </c>
      <c r="AE33" s="4" t="s">
        <v>9</v>
      </c>
      <c r="AG33" s="4" t="s">
        <v>9</v>
      </c>
      <c r="AK33" s="4" t="s">
        <v>9</v>
      </c>
      <c r="AM33" t="s">
        <v>9</v>
      </c>
      <c r="AO33">
        <f>A31</f>
        <v>28</v>
      </c>
      <c r="AP33">
        <v>1</v>
      </c>
    </row>
    <row r="34" spans="1:42" x14ac:dyDescent="0.2">
      <c r="A34">
        <v>31</v>
      </c>
      <c r="D34" s="4" t="s">
        <v>9</v>
      </c>
      <c r="I34" t="s">
        <v>9</v>
      </c>
      <c r="N34" s="4" t="s">
        <v>9</v>
      </c>
      <c r="O34" s="1" t="s">
        <v>9</v>
      </c>
      <c r="Q34" s="1" t="s">
        <v>9</v>
      </c>
      <c r="T34" s="4" t="s">
        <v>9</v>
      </c>
      <c r="V34" s="4" t="s">
        <v>9</v>
      </c>
      <c r="W34" s="1" t="s">
        <v>9</v>
      </c>
      <c r="Z34" s="1" t="s">
        <v>9</v>
      </c>
      <c r="AC34" s="4" t="s">
        <v>9</v>
      </c>
      <c r="AE34" s="4" t="s">
        <v>9</v>
      </c>
      <c r="AG34" s="4" t="s">
        <v>9</v>
      </c>
      <c r="AK34" s="4" t="s">
        <v>9</v>
      </c>
      <c r="AM34" t="s">
        <v>9</v>
      </c>
      <c r="AO34">
        <f>A33</f>
        <v>30</v>
      </c>
      <c r="AP34">
        <v>-1</v>
      </c>
    </row>
    <row r="35" spans="1:42" x14ac:dyDescent="0.2">
      <c r="A35" s="9">
        <v>32</v>
      </c>
      <c r="B35" s="10"/>
      <c r="C35" s="9"/>
      <c r="D35" s="11" t="s">
        <v>9</v>
      </c>
      <c r="E35" s="9"/>
      <c r="F35" s="9"/>
      <c r="G35" s="9"/>
      <c r="H35" s="9" t="s">
        <v>9</v>
      </c>
      <c r="I35" s="9"/>
      <c r="J35" s="9"/>
      <c r="K35" s="11"/>
      <c r="L35" s="10"/>
      <c r="M35" s="9"/>
      <c r="N35" s="11" t="s">
        <v>9</v>
      </c>
      <c r="O35" s="10" t="s">
        <v>9</v>
      </c>
      <c r="P35" s="11"/>
      <c r="Q35" s="10" t="s">
        <v>9</v>
      </c>
      <c r="R35" s="11"/>
      <c r="S35" s="10"/>
      <c r="T35" s="11" t="s">
        <v>9</v>
      </c>
      <c r="U35" s="10"/>
      <c r="V35" s="11" t="s">
        <v>9</v>
      </c>
      <c r="W35" s="10" t="s">
        <v>9</v>
      </c>
      <c r="X35" s="9"/>
      <c r="Y35" s="11"/>
      <c r="Z35" s="10" t="s">
        <v>9</v>
      </c>
      <c r="AA35" s="11"/>
      <c r="AB35" s="10"/>
      <c r="AC35" s="11" t="s">
        <v>9</v>
      </c>
      <c r="AD35" s="10"/>
      <c r="AE35" s="11" t="s">
        <v>9</v>
      </c>
      <c r="AF35" s="10"/>
      <c r="AG35" s="11" t="s">
        <v>9</v>
      </c>
      <c r="AH35" s="10"/>
      <c r="AI35" s="9"/>
      <c r="AJ35" s="9"/>
      <c r="AK35" s="11" t="s">
        <v>9</v>
      </c>
      <c r="AL35" s="10" t="s">
        <v>9</v>
      </c>
      <c r="AM35" s="9"/>
      <c r="AN35" s="11"/>
      <c r="AO35" s="9">
        <f>A33</f>
        <v>30</v>
      </c>
      <c r="AP35" s="9">
        <v>-1</v>
      </c>
    </row>
    <row r="36" spans="1:42" x14ac:dyDescent="0.2">
      <c r="A36">
        <v>33</v>
      </c>
      <c r="D36" s="4" t="s">
        <v>9</v>
      </c>
      <c r="H36" t="s">
        <v>9</v>
      </c>
      <c r="N36" s="4" t="s">
        <v>9</v>
      </c>
      <c r="O36" s="1" t="s">
        <v>9</v>
      </c>
      <c r="Q36" s="1" t="s">
        <v>9</v>
      </c>
      <c r="T36" s="4" t="s">
        <v>9</v>
      </c>
      <c r="V36" s="4" t="s">
        <v>9</v>
      </c>
      <c r="W36" s="1" t="s">
        <v>9</v>
      </c>
      <c r="Z36" s="1" t="s">
        <v>9</v>
      </c>
      <c r="AC36" s="4" t="s">
        <v>9</v>
      </c>
      <c r="AE36" s="4" t="s">
        <v>9</v>
      </c>
      <c r="AG36" s="4" t="s">
        <v>9</v>
      </c>
      <c r="AK36" s="4" t="s">
        <v>9</v>
      </c>
      <c r="AN36" s="4" t="s">
        <v>9</v>
      </c>
      <c r="AO36">
        <f>A33</f>
        <v>30</v>
      </c>
      <c r="AP36">
        <v>1</v>
      </c>
    </row>
  </sheetData>
  <mergeCells count="15">
    <mergeCell ref="G2:I2"/>
    <mergeCell ref="AF1:AG1"/>
    <mergeCell ref="AH1:AK1"/>
    <mergeCell ref="AL1:AN1"/>
    <mergeCell ref="B1:D1"/>
    <mergeCell ref="U1:V1"/>
    <mergeCell ref="E1:K1"/>
    <mergeCell ref="W1:Y1"/>
    <mergeCell ref="Z1:AA1"/>
    <mergeCell ref="AB1:AC1"/>
    <mergeCell ref="AD1:AE1"/>
    <mergeCell ref="L1:N1"/>
    <mergeCell ref="O1:P1"/>
    <mergeCell ref="Q1:R1"/>
    <mergeCell ref="S1:T1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BF4C-86DB-0846-8B79-D60FE8D21AF9}">
  <dimension ref="A1:AA51"/>
  <sheetViews>
    <sheetView zoomScaleNormal="80" workbookViewId="0">
      <selection activeCell="Z15" sqref="Z15"/>
    </sheetView>
  </sheetViews>
  <sheetFormatPr baseColWidth="10" defaultRowHeight="16" x14ac:dyDescent="0.2"/>
  <cols>
    <col min="1" max="1" width="4.5" style="13" customWidth="1"/>
    <col min="2" max="2" width="8.6640625" style="1" customWidth="1"/>
    <col min="3" max="3" width="7.6640625" style="4" customWidth="1"/>
    <col min="4" max="4" width="5.33203125" style="1" customWidth="1"/>
    <col min="5" max="5" width="5.83203125" customWidth="1"/>
    <col min="6" max="6" width="3.33203125" style="4" customWidth="1"/>
    <col min="7" max="7" width="4.83203125" style="1" customWidth="1"/>
    <col min="8" max="8" width="5.1640625" customWidth="1"/>
    <col min="9" max="9" width="5.1640625" style="4" customWidth="1"/>
    <col min="10" max="10" width="8.33203125" style="1" customWidth="1"/>
    <col min="11" max="11" width="6.5" style="4" customWidth="1"/>
    <col min="12" max="12" width="2.5" style="1" bestFit="1" customWidth="1"/>
    <col min="13" max="17" width="2.5" bestFit="1" customWidth="1"/>
    <col min="18" max="18" width="5.83203125" style="4" bestFit="1" customWidth="1"/>
    <col min="19" max="19" width="7.5" style="1" customWidth="1"/>
    <col min="20" max="20" width="6.6640625" style="4" customWidth="1"/>
    <col min="21" max="21" width="6.83203125" customWidth="1"/>
    <col min="27" max="27" width="26.33203125" customWidth="1"/>
    <col min="28" max="28" width="39.1640625" customWidth="1"/>
    <col min="29" max="29" width="34.1640625" customWidth="1"/>
  </cols>
  <sheetData>
    <row r="1" spans="1:27" x14ac:dyDescent="0.2">
      <c r="A1" s="12"/>
      <c r="B1" s="20" t="s">
        <v>32</v>
      </c>
      <c r="C1" s="21"/>
      <c r="D1" s="20" t="s">
        <v>33</v>
      </c>
      <c r="E1" s="22"/>
      <c r="F1" s="21"/>
      <c r="G1" s="20" t="s">
        <v>34</v>
      </c>
      <c r="H1" s="22"/>
      <c r="I1" s="21"/>
      <c r="J1" s="20" t="s">
        <v>35</v>
      </c>
      <c r="K1" s="21"/>
      <c r="L1" s="20" t="s">
        <v>38</v>
      </c>
      <c r="M1" s="22"/>
      <c r="N1" s="22"/>
      <c r="O1" s="22"/>
      <c r="P1" s="22"/>
      <c r="Q1" s="22"/>
      <c r="R1" s="21"/>
      <c r="S1" s="20" t="s">
        <v>49</v>
      </c>
      <c r="T1" s="21"/>
      <c r="U1" s="14" t="s">
        <v>0</v>
      </c>
      <c r="V1" s="15"/>
    </row>
    <row r="2" spans="1:27" x14ac:dyDescent="0.2">
      <c r="A2" s="16" t="s">
        <v>8</v>
      </c>
      <c r="B2" s="6" t="s">
        <v>6</v>
      </c>
      <c r="C2" s="8" t="s">
        <v>7</v>
      </c>
      <c r="D2" s="6">
        <v>0.01</v>
      </c>
      <c r="E2" s="7">
        <v>0.2</v>
      </c>
      <c r="F2" s="8">
        <v>1</v>
      </c>
      <c r="G2" s="6">
        <v>0</v>
      </c>
      <c r="H2" s="7">
        <v>2</v>
      </c>
      <c r="I2" s="8">
        <v>4</v>
      </c>
      <c r="J2" s="6" t="s">
        <v>36</v>
      </c>
      <c r="K2" s="8" t="s">
        <v>37</v>
      </c>
      <c r="L2" s="6">
        <v>1</v>
      </c>
      <c r="M2" s="7">
        <v>2</v>
      </c>
      <c r="N2" s="7">
        <v>3</v>
      </c>
      <c r="O2" s="7">
        <v>4</v>
      </c>
      <c r="P2" s="7">
        <v>5</v>
      </c>
      <c r="Q2" s="7">
        <v>6</v>
      </c>
      <c r="R2" s="8" t="s">
        <v>37</v>
      </c>
      <c r="S2" s="6" t="s">
        <v>6</v>
      </c>
      <c r="T2" s="8" t="s">
        <v>7</v>
      </c>
      <c r="U2" s="7"/>
      <c r="V2" s="8"/>
    </row>
    <row r="3" spans="1:27" x14ac:dyDescent="0.2">
      <c r="A3" s="13">
        <v>1</v>
      </c>
      <c r="B3" s="1" t="s">
        <v>9</v>
      </c>
      <c r="G3" s="1" t="s">
        <v>9</v>
      </c>
      <c r="K3" s="4" t="s">
        <v>9</v>
      </c>
      <c r="R3" s="4" t="s">
        <v>9</v>
      </c>
      <c r="T3" s="4" t="s">
        <v>9</v>
      </c>
      <c r="U3" t="s">
        <v>39</v>
      </c>
      <c r="V3">
        <v>-1</v>
      </c>
      <c r="AA3" t="s">
        <v>48</v>
      </c>
    </row>
    <row r="4" spans="1:27" x14ac:dyDescent="0.2">
      <c r="A4" s="13">
        <v>2</v>
      </c>
      <c r="C4" s="4" t="s">
        <v>9</v>
      </c>
      <c r="D4" s="1" t="s">
        <v>9</v>
      </c>
      <c r="H4" t="s">
        <v>9</v>
      </c>
      <c r="K4" s="4" t="s">
        <v>9</v>
      </c>
      <c r="L4" s="1" t="s">
        <v>9</v>
      </c>
      <c r="T4" s="4" t="s">
        <v>9</v>
      </c>
      <c r="U4" t="s">
        <v>39</v>
      </c>
      <c r="V4">
        <v>0</v>
      </c>
    </row>
    <row r="5" spans="1:27" ht="22" customHeight="1" x14ac:dyDescent="0.2">
      <c r="A5" s="13">
        <v>3</v>
      </c>
      <c r="C5" s="4" t="s">
        <v>9</v>
      </c>
      <c r="D5" s="1" t="s">
        <v>9</v>
      </c>
      <c r="H5" t="s">
        <v>9</v>
      </c>
      <c r="K5" s="4" t="s">
        <v>9</v>
      </c>
      <c r="M5" t="s">
        <v>9</v>
      </c>
      <c r="T5" s="4" t="s">
        <v>9</v>
      </c>
      <c r="U5" t="s">
        <v>39</v>
      </c>
      <c r="V5">
        <v>0</v>
      </c>
      <c r="AA5" t="s">
        <v>42</v>
      </c>
    </row>
    <row r="6" spans="1:27" ht="22" customHeight="1" x14ac:dyDescent="0.2">
      <c r="A6" s="13">
        <v>4</v>
      </c>
      <c r="C6" s="4" t="s">
        <v>9</v>
      </c>
      <c r="D6" s="1" t="s">
        <v>9</v>
      </c>
      <c r="H6" t="s">
        <v>9</v>
      </c>
      <c r="K6" s="4" t="s">
        <v>9</v>
      </c>
      <c r="N6" t="s">
        <v>9</v>
      </c>
      <c r="T6" s="4" t="s">
        <v>9</v>
      </c>
      <c r="U6" t="s">
        <v>39</v>
      </c>
      <c r="V6">
        <v>1</v>
      </c>
      <c r="W6" t="s">
        <v>41</v>
      </c>
      <c r="AA6" t="s">
        <v>43</v>
      </c>
    </row>
    <row r="7" spans="1:27" ht="22" customHeight="1" x14ac:dyDescent="0.2">
      <c r="A7" s="13">
        <v>5</v>
      </c>
      <c r="C7" s="4" t="s">
        <v>9</v>
      </c>
      <c r="D7" s="1" t="s">
        <v>9</v>
      </c>
      <c r="H7" t="s">
        <v>9</v>
      </c>
      <c r="K7" s="4" t="s">
        <v>9</v>
      </c>
      <c r="O7" t="s">
        <v>9</v>
      </c>
      <c r="T7" s="4" t="s">
        <v>9</v>
      </c>
      <c r="U7" t="s">
        <v>39</v>
      </c>
      <c r="V7">
        <v>-1</v>
      </c>
      <c r="W7" t="s">
        <v>40</v>
      </c>
      <c r="AA7" t="s">
        <v>44</v>
      </c>
    </row>
    <row r="8" spans="1:27" ht="22" customHeight="1" x14ac:dyDescent="0.2">
      <c r="A8" s="13">
        <v>6</v>
      </c>
      <c r="C8" s="4" t="s">
        <v>9</v>
      </c>
      <c r="D8" s="1" t="s">
        <v>9</v>
      </c>
      <c r="H8" t="s">
        <v>9</v>
      </c>
      <c r="K8" s="4" t="s">
        <v>9</v>
      </c>
      <c r="P8" t="s">
        <v>9</v>
      </c>
      <c r="T8" s="4" t="s">
        <v>9</v>
      </c>
      <c r="U8" t="s">
        <v>39</v>
      </c>
      <c r="V8">
        <v>-1</v>
      </c>
      <c r="W8" t="s">
        <v>40</v>
      </c>
      <c r="AA8" t="s">
        <v>45</v>
      </c>
    </row>
    <row r="9" spans="1:27" ht="22" customHeight="1" x14ac:dyDescent="0.2">
      <c r="A9" s="13">
        <v>7</v>
      </c>
      <c r="C9" s="4" t="s">
        <v>9</v>
      </c>
      <c r="D9" s="1" t="s">
        <v>9</v>
      </c>
      <c r="H9" t="s">
        <v>9</v>
      </c>
      <c r="K9" s="4" t="s">
        <v>9</v>
      </c>
      <c r="Q9" t="s">
        <v>9</v>
      </c>
      <c r="T9" s="4" t="s">
        <v>9</v>
      </c>
      <c r="U9" t="s">
        <v>39</v>
      </c>
      <c r="V9">
        <v>-1</v>
      </c>
      <c r="W9" t="s">
        <v>40</v>
      </c>
      <c r="AA9" t="s">
        <v>46</v>
      </c>
    </row>
    <row r="10" spans="1:27" ht="22" customHeight="1" x14ac:dyDescent="0.2">
      <c r="A10" s="13">
        <v>8</v>
      </c>
      <c r="C10" s="4" t="s">
        <v>9</v>
      </c>
      <c r="E10" t="s">
        <v>9</v>
      </c>
      <c r="H10" t="s">
        <v>9</v>
      </c>
      <c r="K10" s="4" t="s">
        <v>9</v>
      </c>
      <c r="L10" s="1" t="s">
        <v>9</v>
      </c>
      <c r="T10" s="4" t="s">
        <v>9</v>
      </c>
      <c r="U10" t="s">
        <v>39</v>
      </c>
      <c r="V10">
        <v>0</v>
      </c>
      <c r="AA10" t="s">
        <v>47</v>
      </c>
    </row>
    <row r="11" spans="1:27" x14ac:dyDescent="0.2">
      <c r="A11" s="13">
        <v>9</v>
      </c>
      <c r="C11" s="4" t="s">
        <v>9</v>
      </c>
      <c r="E11" t="s">
        <v>9</v>
      </c>
      <c r="H11" t="s">
        <v>9</v>
      </c>
      <c r="K11" s="4" t="s">
        <v>9</v>
      </c>
      <c r="M11" t="s">
        <v>9</v>
      </c>
      <c r="T11" s="4" t="s">
        <v>9</v>
      </c>
      <c r="U11" t="s">
        <v>39</v>
      </c>
      <c r="V11">
        <v>0</v>
      </c>
    </row>
    <row r="12" spans="1:27" x14ac:dyDescent="0.2">
      <c r="A12" s="13">
        <v>10</v>
      </c>
      <c r="C12" s="4" t="s">
        <v>9</v>
      </c>
      <c r="E12" t="s">
        <v>9</v>
      </c>
      <c r="H12" t="s">
        <v>9</v>
      </c>
      <c r="K12" s="4" t="s">
        <v>9</v>
      </c>
      <c r="N12" t="s">
        <v>9</v>
      </c>
      <c r="T12" s="4" t="s">
        <v>9</v>
      </c>
      <c r="U12" t="s">
        <v>39</v>
      </c>
      <c r="V12">
        <v>0</v>
      </c>
    </row>
    <row r="13" spans="1:27" x14ac:dyDescent="0.2">
      <c r="A13" s="13">
        <v>11</v>
      </c>
      <c r="C13" s="4" t="s">
        <v>9</v>
      </c>
      <c r="E13" t="s">
        <v>9</v>
      </c>
      <c r="H13" t="s">
        <v>9</v>
      </c>
      <c r="K13" s="4" t="s">
        <v>9</v>
      </c>
      <c r="O13" t="s">
        <v>9</v>
      </c>
      <c r="T13" s="4" t="s">
        <v>9</v>
      </c>
      <c r="U13" t="s">
        <v>39</v>
      </c>
      <c r="V13">
        <v>-1</v>
      </c>
      <c r="W13" t="s">
        <v>40</v>
      </c>
    </row>
    <row r="14" spans="1:27" x14ac:dyDescent="0.2">
      <c r="A14" s="13">
        <v>12</v>
      </c>
      <c r="C14" s="4" t="s">
        <v>9</v>
      </c>
      <c r="E14" t="s">
        <v>9</v>
      </c>
      <c r="H14" t="s">
        <v>9</v>
      </c>
      <c r="K14" s="4" t="s">
        <v>9</v>
      </c>
      <c r="P14" t="s">
        <v>9</v>
      </c>
      <c r="T14" s="4" t="s">
        <v>9</v>
      </c>
      <c r="U14" t="s">
        <v>39</v>
      </c>
      <c r="V14">
        <v>-1</v>
      </c>
      <c r="W14" t="s">
        <v>40</v>
      </c>
    </row>
    <row r="15" spans="1:27" x14ac:dyDescent="0.2">
      <c r="A15" s="13">
        <v>13</v>
      </c>
      <c r="C15" s="4" t="s">
        <v>9</v>
      </c>
      <c r="E15" t="s">
        <v>9</v>
      </c>
      <c r="H15" t="s">
        <v>9</v>
      </c>
      <c r="K15" s="4" t="s">
        <v>9</v>
      </c>
      <c r="Q15" t="s">
        <v>9</v>
      </c>
      <c r="T15" s="4" t="s">
        <v>9</v>
      </c>
      <c r="U15" t="s">
        <v>39</v>
      </c>
      <c r="V15">
        <v>-1</v>
      </c>
      <c r="W15" t="s">
        <v>40</v>
      </c>
    </row>
    <row r="16" spans="1:27" x14ac:dyDescent="0.2">
      <c r="A16" s="13">
        <v>14</v>
      </c>
      <c r="C16" s="4" t="s">
        <v>9</v>
      </c>
      <c r="D16" s="1" t="s">
        <v>9</v>
      </c>
      <c r="I16" s="4" t="s">
        <v>9</v>
      </c>
      <c r="K16" s="4" t="s">
        <v>9</v>
      </c>
      <c r="L16" s="1" t="s">
        <v>9</v>
      </c>
      <c r="T16" s="4" t="s">
        <v>9</v>
      </c>
      <c r="U16" t="s">
        <v>39</v>
      </c>
      <c r="V16">
        <v>1</v>
      </c>
      <c r="W16" t="s">
        <v>41</v>
      </c>
    </row>
    <row r="17" spans="1:23" x14ac:dyDescent="0.2">
      <c r="A17" s="13">
        <v>15</v>
      </c>
      <c r="C17" s="4" t="s">
        <v>9</v>
      </c>
      <c r="D17" s="1" t="s">
        <v>9</v>
      </c>
      <c r="I17" s="4" t="s">
        <v>9</v>
      </c>
      <c r="K17" s="4" t="s">
        <v>9</v>
      </c>
      <c r="M17" t="s">
        <v>9</v>
      </c>
      <c r="T17" s="4" t="s">
        <v>9</v>
      </c>
      <c r="U17" t="s">
        <v>39</v>
      </c>
      <c r="V17">
        <v>1</v>
      </c>
      <c r="W17" t="s">
        <v>41</v>
      </c>
    </row>
    <row r="18" spans="1:23" x14ac:dyDescent="0.2">
      <c r="A18" s="13">
        <v>16</v>
      </c>
      <c r="C18" s="4" t="s">
        <v>9</v>
      </c>
      <c r="D18" s="1" t="s">
        <v>9</v>
      </c>
      <c r="I18" s="4" t="s">
        <v>9</v>
      </c>
      <c r="K18" s="4" t="s">
        <v>9</v>
      </c>
      <c r="N18" t="s">
        <v>9</v>
      </c>
      <c r="T18" s="4" t="s">
        <v>9</v>
      </c>
      <c r="U18" t="s">
        <v>39</v>
      </c>
      <c r="V18">
        <v>1</v>
      </c>
      <c r="W18" t="s">
        <v>41</v>
      </c>
    </row>
    <row r="19" spans="1:23" x14ac:dyDescent="0.2">
      <c r="A19" s="13">
        <v>17</v>
      </c>
      <c r="C19" s="4" t="s">
        <v>9</v>
      </c>
      <c r="D19" s="1" t="s">
        <v>9</v>
      </c>
      <c r="I19" s="4" t="s">
        <v>9</v>
      </c>
      <c r="K19" s="4" t="s">
        <v>9</v>
      </c>
      <c r="O19" t="s">
        <v>9</v>
      </c>
      <c r="T19" s="4" t="s">
        <v>9</v>
      </c>
      <c r="U19" t="s">
        <v>39</v>
      </c>
      <c r="V19">
        <v>-1</v>
      </c>
      <c r="W19" t="s">
        <v>40</v>
      </c>
    </row>
    <row r="20" spans="1:23" x14ac:dyDescent="0.2">
      <c r="A20" s="13">
        <v>18</v>
      </c>
      <c r="C20" s="4" t="s">
        <v>9</v>
      </c>
      <c r="D20" s="1" t="s">
        <v>9</v>
      </c>
      <c r="I20" s="4" t="s">
        <v>9</v>
      </c>
      <c r="K20" s="4" t="s">
        <v>9</v>
      </c>
      <c r="P20" t="s">
        <v>9</v>
      </c>
      <c r="T20" s="4" t="s">
        <v>9</v>
      </c>
      <c r="U20" t="s">
        <v>39</v>
      </c>
      <c r="V20">
        <v>-1</v>
      </c>
      <c r="W20" t="s">
        <v>40</v>
      </c>
    </row>
    <row r="21" spans="1:23" x14ac:dyDescent="0.2">
      <c r="A21" s="13">
        <v>19</v>
      </c>
      <c r="C21" s="4" t="s">
        <v>9</v>
      </c>
      <c r="D21" s="1" t="s">
        <v>9</v>
      </c>
      <c r="I21" s="4" t="s">
        <v>9</v>
      </c>
      <c r="K21" s="4" t="s">
        <v>9</v>
      </c>
      <c r="Q21" t="s">
        <v>9</v>
      </c>
      <c r="T21" s="4" t="s">
        <v>9</v>
      </c>
      <c r="U21" t="s">
        <v>39</v>
      </c>
      <c r="V21">
        <v>-1</v>
      </c>
      <c r="W21" t="s">
        <v>40</v>
      </c>
    </row>
    <row r="22" spans="1:23" x14ac:dyDescent="0.2">
      <c r="A22" s="13">
        <v>20</v>
      </c>
      <c r="C22" s="4" t="s">
        <v>9</v>
      </c>
      <c r="E22" t="s">
        <v>9</v>
      </c>
      <c r="I22" s="4" t="s">
        <v>9</v>
      </c>
      <c r="K22" s="4" t="s">
        <v>9</v>
      </c>
      <c r="L22" s="1" t="s">
        <v>9</v>
      </c>
      <c r="T22" s="4" t="s">
        <v>9</v>
      </c>
      <c r="U22" t="s">
        <v>39</v>
      </c>
      <c r="V22">
        <v>1</v>
      </c>
      <c r="W22" t="s">
        <v>41</v>
      </c>
    </row>
    <row r="23" spans="1:23" x14ac:dyDescent="0.2">
      <c r="A23" s="13">
        <v>21</v>
      </c>
      <c r="C23" s="4" t="s">
        <v>9</v>
      </c>
      <c r="E23" t="s">
        <v>9</v>
      </c>
      <c r="I23" s="4" t="s">
        <v>9</v>
      </c>
      <c r="K23" s="4" t="s">
        <v>9</v>
      </c>
      <c r="M23" t="s">
        <v>9</v>
      </c>
      <c r="T23" s="4" t="s">
        <v>9</v>
      </c>
      <c r="U23" t="s">
        <v>39</v>
      </c>
      <c r="V23">
        <v>1</v>
      </c>
      <c r="W23" t="s">
        <v>41</v>
      </c>
    </row>
    <row r="24" spans="1:23" x14ac:dyDescent="0.2">
      <c r="A24" s="13">
        <v>22</v>
      </c>
      <c r="C24" s="4" t="s">
        <v>9</v>
      </c>
      <c r="E24" t="s">
        <v>9</v>
      </c>
      <c r="I24" s="4" t="s">
        <v>9</v>
      </c>
      <c r="K24" s="4" t="s">
        <v>9</v>
      </c>
      <c r="N24" t="s">
        <v>9</v>
      </c>
      <c r="T24" s="4" t="s">
        <v>9</v>
      </c>
      <c r="U24" t="s">
        <v>39</v>
      </c>
      <c r="V24">
        <v>1</v>
      </c>
      <c r="W24" t="s">
        <v>41</v>
      </c>
    </row>
    <row r="25" spans="1:23" x14ac:dyDescent="0.2">
      <c r="A25" s="13">
        <v>23</v>
      </c>
      <c r="C25" s="4" t="s">
        <v>9</v>
      </c>
      <c r="E25" t="s">
        <v>9</v>
      </c>
      <c r="I25" s="4" t="s">
        <v>9</v>
      </c>
      <c r="K25" s="4" t="s">
        <v>9</v>
      </c>
      <c r="O25" t="s">
        <v>9</v>
      </c>
      <c r="T25" s="4" t="s">
        <v>9</v>
      </c>
      <c r="U25" t="s">
        <v>39</v>
      </c>
      <c r="V25">
        <v>-1</v>
      </c>
      <c r="W25" t="s">
        <v>40</v>
      </c>
    </row>
    <row r="26" spans="1:23" x14ac:dyDescent="0.2">
      <c r="A26" s="13">
        <v>24</v>
      </c>
      <c r="C26" s="4" t="s">
        <v>9</v>
      </c>
      <c r="E26" t="s">
        <v>9</v>
      </c>
      <c r="I26" s="4" t="s">
        <v>9</v>
      </c>
      <c r="K26" s="4" t="s">
        <v>9</v>
      </c>
      <c r="P26" t="s">
        <v>9</v>
      </c>
      <c r="T26" s="4" t="s">
        <v>9</v>
      </c>
      <c r="U26" t="s">
        <v>39</v>
      </c>
      <c r="V26">
        <v>-1</v>
      </c>
      <c r="W26" t="s">
        <v>40</v>
      </c>
    </row>
    <row r="27" spans="1:23" x14ac:dyDescent="0.2">
      <c r="A27" s="13">
        <v>25</v>
      </c>
      <c r="C27" s="4" t="s">
        <v>9</v>
      </c>
      <c r="E27" t="s">
        <v>9</v>
      </c>
      <c r="I27" s="4" t="s">
        <v>9</v>
      </c>
      <c r="K27" s="4" t="s">
        <v>9</v>
      </c>
      <c r="Q27" t="s">
        <v>9</v>
      </c>
      <c r="T27" s="4" t="s">
        <v>9</v>
      </c>
      <c r="U27" t="s">
        <v>39</v>
      </c>
      <c r="V27">
        <v>-1</v>
      </c>
      <c r="W27" t="s">
        <v>40</v>
      </c>
    </row>
    <row r="28" spans="1:23" x14ac:dyDescent="0.2">
      <c r="A28" s="13">
        <v>26</v>
      </c>
      <c r="C28" s="4" t="s">
        <v>9</v>
      </c>
      <c r="D28" s="1" t="s">
        <v>9</v>
      </c>
      <c r="G28" s="1" t="s">
        <v>9</v>
      </c>
      <c r="J28" s="1" t="s">
        <v>9</v>
      </c>
      <c r="L28" s="1" t="s">
        <v>9</v>
      </c>
      <c r="T28" s="4" t="s">
        <v>9</v>
      </c>
      <c r="U28" t="s">
        <v>39</v>
      </c>
      <c r="V28">
        <v>1</v>
      </c>
    </row>
    <row r="29" spans="1:23" x14ac:dyDescent="0.2">
      <c r="A29" s="13">
        <v>27</v>
      </c>
      <c r="C29" s="4" t="s">
        <v>9</v>
      </c>
      <c r="D29" s="1" t="s">
        <v>9</v>
      </c>
      <c r="G29" s="1" t="s">
        <v>9</v>
      </c>
      <c r="J29" s="1" t="s">
        <v>9</v>
      </c>
      <c r="M29" t="s">
        <v>9</v>
      </c>
      <c r="T29" s="4" t="s">
        <v>9</v>
      </c>
      <c r="U29" t="s">
        <v>39</v>
      </c>
      <c r="V29">
        <v>0</v>
      </c>
    </row>
    <row r="30" spans="1:23" x14ac:dyDescent="0.2">
      <c r="A30" s="13">
        <v>28</v>
      </c>
      <c r="C30" s="4" t="s">
        <v>9</v>
      </c>
      <c r="D30" s="1" t="s">
        <v>9</v>
      </c>
      <c r="G30" s="1" t="s">
        <v>9</v>
      </c>
      <c r="J30" s="1" t="s">
        <v>9</v>
      </c>
      <c r="N30" t="s">
        <v>9</v>
      </c>
      <c r="T30" s="4" t="s">
        <v>9</v>
      </c>
      <c r="U30" t="s">
        <v>39</v>
      </c>
      <c r="V30">
        <v>0</v>
      </c>
    </row>
    <row r="31" spans="1:23" x14ac:dyDescent="0.2">
      <c r="A31" s="13">
        <v>29</v>
      </c>
      <c r="C31" s="4" t="s">
        <v>9</v>
      </c>
      <c r="D31" s="1" t="s">
        <v>9</v>
      </c>
      <c r="G31" s="1" t="s">
        <v>9</v>
      </c>
      <c r="J31" s="1" t="s">
        <v>9</v>
      </c>
      <c r="O31" t="s">
        <v>9</v>
      </c>
      <c r="T31" s="4" t="s">
        <v>9</v>
      </c>
      <c r="U31" t="s">
        <v>39</v>
      </c>
      <c r="V31">
        <v>-1</v>
      </c>
      <c r="W31" t="s">
        <v>40</v>
      </c>
    </row>
    <row r="32" spans="1:23" x14ac:dyDescent="0.2">
      <c r="A32" s="13">
        <v>30</v>
      </c>
      <c r="C32" s="4" t="s">
        <v>9</v>
      </c>
      <c r="D32" s="1" t="s">
        <v>9</v>
      </c>
      <c r="G32" s="1" t="s">
        <v>9</v>
      </c>
      <c r="J32" s="1" t="s">
        <v>9</v>
      </c>
      <c r="P32" t="s">
        <v>9</v>
      </c>
      <c r="T32" s="4" t="s">
        <v>9</v>
      </c>
      <c r="U32" t="s">
        <v>39</v>
      </c>
      <c r="V32">
        <v>-1</v>
      </c>
      <c r="W32" t="s">
        <v>40</v>
      </c>
    </row>
    <row r="33" spans="1:23" x14ac:dyDescent="0.2">
      <c r="A33" s="13">
        <v>31</v>
      </c>
      <c r="C33" s="4" t="s">
        <v>9</v>
      </c>
      <c r="D33" s="1" t="s">
        <v>9</v>
      </c>
      <c r="G33" s="1" t="s">
        <v>9</v>
      </c>
      <c r="J33" s="1" t="s">
        <v>9</v>
      </c>
      <c r="Q33" t="s">
        <v>9</v>
      </c>
      <c r="T33" s="4" t="s">
        <v>9</v>
      </c>
      <c r="U33" t="s">
        <v>39</v>
      </c>
      <c r="V33">
        <v>-1</v>
      </c>
      <c r="W33" t="s">
        <v>40</v>
      </c>
    </row>
    <row r="34" spans="1:23" x14ac:dyDescent="0.2">
      <c r="A34" s="13">
        <v>32</v>
      </c>
      <c r="C34" s="4" t="s">
        <v>9</v>
      </c>
      <c r="E34" t="s">
        <v>9</v>
      </c>
      <c r="G34" s="1" t="s">
        <v>9</v>
      </c>
      <c r="J34" s="1" t="s">
        <v>9</v>
      </c>
      <c r="L34" s="1" t="s">
        <v>9</v>
      </c>
      <c r="T34" s="4" t="s">
        <v>9</v>
      </c>
      <c r="U34" t="s">
        <v>39</v>
      </c>
      <c r="V34">
        <v>1</v>
      </c>
    </row>
    <row r="35" spans="1:23" x14ac:dyDescent="0.2">
      <c r="A35" s="13">
        <v>33</v>
      </c>
      <c r="C35" s="4" t="s">
        <v>9</v>
      </c>
      <c r="E35" t="s">
        <v>9</v>
      </c>
      <c r="G35" s="1" t="s">
        <v>9</v>
      </c>
      <c r="J35" s="1" t="s">
        <v>9</v>
      </c>
      <c r="M35" t="s">
        <v>9</v>
      </c>
      <c r="T35" s="4" t="s">
        <v>9</v>
      </c>
      <c r="U35" t="s">
        <v>39</v>
      </c>
      <c r="V35">
        <v>0</v>
      </c>
    </row>
    <row r="36" spans="1:23" x14ac:dyDescent="0.2">
      <c r="A36" s="13">
        <v>34</v>
      </c>
      <c r="C36" s="4" t="s">
        <v>9</v>
      </c>
      <c r="E36" t="s">
        <v>9</v>
      </c>
      <c r="G36" s="1" t="s">
        <v>9</v>
      </c>
      <c r="J36" s="1" t="s">
        <v>9</v>
      </c>
      <c r="N36" t="s">
        <v>9</v>
      </c>
      <c r="T36" s="4" t="s">
        <v>9</v>
      </c>
      <c r="U36" t="s">
        <v>39</v>
      </c>
      <c r="V36">
        <v>0</v>
      </c>
    </row>
    <row r="37" spans="1:23" x14ac:dyDescent="0.2">
      <c r="A37" s="13">
        <v>35</v>
      </c>
      <c r="C37" s="4" t="s">
        <v>9</v>
      </c>
      <c r="E37" t="s">
        <v>9</v>
      </c>
      <c r="G37" s="1" t="s">
        <v>9</v>
      </c>
      <c r="J37" s="1" t="s">
        <v>9</v>
      </c>
      <c r="O37" t="s">
        <v>9</v>
      </c>
      <c r="T37" s="4" t="s">
        <v>9</v>
      </c>
      <c r="U37" t="s">
        <v>39</v>
      </c>
      <c r="V37">
        <v>-1</v>
      </c>
      <c r="W37" t="s">
        <v>40</v>
      </c>
    </row>
    <row r="38" spans="1:23" x14ac:dyDescent="0.2">
      <c r="A38" s="13">
        <v>36</v>
      </c>
      <c r="C38" s="4" t="s">
        <v>9</v>
      </c>
      <c r="E38" t="s">
        <v>9</v>
      </c>
      <c r="G38" s="1" t="s">
        <v>9</v>
      </c>
      <c r="J38" s="1" t="s">
        <v>9</v>
      </c>
      <c r="P38" t="s">
        <v>9</v>
      </c>
      <c r="T38" s="4" t="s">
        <v>9</v>
      </c>
      <c r="U38" t="s">
        <v>39</v>
      </c>
      <c r="V38">
        <v>-1</v>
      </c>
      <c r="W38" t="s">
        <v>40</v>
      </c>
    </row>
    <row r="39" spans="1:23" x14ac:dyDescent="0.2">
      <c r="A39" s="13">
        <v>37</v>
      </c>
      <c r="C39" s="4" t="s">
        <v>9</v>
      </c>
      <c r="E39" t="s">
        <v>9</v>
      </c>
      <c r="G39" s="1" t="s">
        <v>9</v>
      </c>
      <c r="J39" s="1" t="s">
        <v>9</v>
      </c>
      <c r="Q39" t="s">
        <v>9</v>
      </c>
      <c r="T39" s="4" t="s">
        <v>9</v>
      </c>
      <c r="U39" t="s">
        <v>39</v>
      </c>
      <c r="V39">
        <v>-1</v>
      </c>
      <c r="W39" t="s">
        <v>40</v>
      </c>
    </row>
    <row r="40" spans="1:23" x14ac:dyDescent="0.2">
      <c r="A40" s="13">
        <v>38</v>
      </c>
      <c r="C40" s="4" t="s">
        <v>9</v>
      </c>
      <c r="F40" s="4" t="s">
        <v>9</v>
      </c>
      <c r="G40" s="1" t="s">
        <v>9</v>
      </c>
      <c r="J40" s="1" t="s">
        <v>9</v>
      </c>
      <c r="L40" s="1" t="s">
        <v>9</v>
      </c>
      <c r="T40" s="4" t="s">
        <v>9</v>
      </c>
      <c r="U40" t="s">
        <v>39</v>
      </c>
      <c r="V40">
        <v>0</v>
      </c>
    </row>
    <row r="41" spans="1:23" x14ac:dyDescent="0.2">
      <c r="A41" s="13">
        <v>39</v>
      </c>
      <c r="C41" s="4" t="s">
        <v>9</v>
      </c>
      <c r="F41" s="4" t="s">
        <v>9</v>
      </c>
      <c r="G41" s="1" t="s">
        <v>9</v>
      </c>
      <c r="J41" s="1" t="s">
        <v>9</v>
      </c>
      <c r="M41" t="s">
        <v>9</v>
      </c>
      <c r="T41" s="4" t="s">
        <v>9</v>
      </c>
      <c r="U41" t="s">
        <v>39</v>
      </c>
      <c r="V41">
        <v>0</v>
      </c>
    </row>
    <row r="42" spans="1:23" x14ac:dyDescent="0.2">
      <c r="A42" s="13">
        <v>40</v>
      </c>
      <c r="C42" s="4" t="s">
        <v>9</v>
      </c>
      <c r="F42" s="4" t="s">
        <v>9</v>
      </c>
      <c r="G42" s="1" t="s">
        <v>9</v>
      </c>
      <c r="J42" s="1" t="s">
        <v>9</v>
      </c>
      <c r="N42" t="s">
        <v>9</v>
      </c>
      <c r="T42" s="4" t="s">
        <v>9</v>
      </c>
      <c r="U42" t="s">
        <v>39</v>
      </c>
      <c r="V42">
        <v>1</v>
      </c>
    </row>
    <row r="43" spans="1:23" x14ac:dyDescent="0.2">
      <c r="A43" s="13">
        <v>41</v>
      </c>
      <c r="C43" s="4" t="s">
        <v>9</v>
      </c>
      <c r="F43" s="4" t="s">
        <v>9</v>
      </c>
      <c r="G43" s="1" t="s">
        <v>9</v>
      </c>
      <c r="J43" s="1" t="s">
        <v>9</v>
      </c>
      <c r="O43" t="s">
        <v>9</v>
      </c>
      <c r="T43" s="4" t="s">
        <v>9</v>
      </c>
      <c r="U43" t="s">
        <v>39</v>
      </c>
      <c r="V43">
        <v>-1</v>
      </c>
      <c r="W43" t="s">
        <v>40</v>
      </c>
    </row>
    <row r="44" spans="1:23" x14ac:dyDescent="0.2">
      <c r="A44" s="13">
        <v>42</v>
      </c>
      <c r="C44" s="4" t="s">
        <v>9</v>
      </c>
      <c r="F44" s="4" t="s">
        <v>9</v>
      </c>
      <c r="G44" s="1" t="s">
        <v>9</v>
      </c>
      <c r="J44" s="1" t="s">
        <v>9</v>
      </c>
      <c r="P44" t="s">
        <v>9</v>
      </c>
      <c r="T44" s="4" t="s">
        <v>9</v>
      </c>
      <c r="U44" t="s">
        <v>39</v>
      </c>
      <c r="V44">
        <v>0</v>
      </c>
    </row>
    <row r="45" spans="1:23" x14ac:dyDescent="0.2">
      <c r="A45" s="13">
        <v>43</v>
      </c>
      <c r="C45" s="4" t="s">
        <v>9</v>
      </c>
      <c r="F45" s="4" t="s">
        <v>9</v>
      </c>
      <c r="G45" s="1" t="s">
        <v>9</v>
      </c>
      <c r="J45" s="1" t="s">
        <v>9</v>
      </c>
      <c r="Q45" t="s">
        <v>9</v>
      </c>
      <c r="T45" s="4" t="s">
        <v>9</v>
      </c>
      <c r="U45" t="s">
        <v>39</v>
      </c>
      <c r="V45">
        <v>0</v>
      </c>
    </row>
    <row r="46" spans="1:23" x14ac:dyDescent="0.2">
      <c r="A46" s="13">
        <v>44</v>
      </c>
      <c r="C46" s="4" t="s">
        <v>9</v>
      </c>
      <c r="E46" t="s">
        <v>9</v>
      </c>
      <c r="I46" s="4" t="s">
        <v>9</v>
      </c>
      <c r="K46" s="4" t="s">
        <v>9</v>
      </c>
      <c r="L46" s="1" t="s">
        <v>9</v>
      </c>
      <c r="S46" s="1" t="s">
        <v>9</v>
      </c>
      <c r="U46">
        <f>A22</f>
        <v>20</v>
      </c>
      <c r="W46" s="17" t="s">
        <v>50</v>
      </c>
    </row>
    <row r="47" spans="1:23" x14ac:dyDescent="0.2">
      <c r="A47" s="13">
        <v>45</v>
      </c>
      <c r="C47" s="4" t="s">
        <v>9</v>
      </c>
      <c r="E47" t="s">
        <v>9</v>
      </c>
      <c r="I47" s="4" t="s">
        <v>9</v>
      </c>
      <c r="K47" s="4" t="s">
        <v>9</v>
      </c>
      <c r="M47" t="s">
        <v>9</v>
      </c>
      <c r="S47" s="1" t="s">
        <v>9</v>
      </c>
      <c r="U47">
        <f t="shared" ref="U47:U51" si="0">A23</f>
        <v>21</v>
      </c>
    </row>
    <row r="48" spans="1:23" x14ac:dyDescent="0.2">
      <c r="A48" s="13">
        <v>46</v>
      </c>
      <c r="C48" s="4" t="s">
        <v>9</v>
      </c>
      <c r="E48" t="s">
        <v>9</v>
      </c>
      <c r="I48" s="4" t="s">
        <v>9</v>
      </c>
      <c r="K48" s="4" t="s">
        <v>9</v>
      </c>
      <c r="N48" t="s">
        <v>9</v>
      </c>
      <c r="S48" s="1" t="s">
        <v>9</v>
      </c>
      <c r="U48">
        <f t="shared" si="0"/>
        <v>22</v>
      </c>
    </row>
    <row r="49" spans="1:21" x14ac:dyDescent="0.2">
      <c r="A49" s="13">
        <v>47</v>
      </c>
      <c r="C49" s="4" t="s">
        <v>9</v>
      </c>
      <c r="E49" t="s">
        <v>9</v>
      </c>
      <c r="I49" s="4" t="s">
        <v>9</v>
      </c>
      <c r="K49" s="4" t="s">
        <v>9</v>
      </c>
      <c r="O49" t="s">
        <v>9</v>
      </c>
      <c r="S49" s="1" t="s">
        <v>9</v>
      </c>
      <c r="U49">
        <f t="shared" si="0"/>
        <v>23</v>
      </c>
    </row>
    <row r="50" spans="1:21" x14ac:dyDescent="0.2">
      <c r="A50" s="13">
        <v>48</v>
      </c>
      <c r="C50" s="4" t="s">
        <v>9</v>
      </c>
      <c r="E50" t="s">
        <v>9</v>
      </c>
      <c r="I50" s="4" t="s">
        <v>9</v>
      </c>
      <c r="K50" s="4" t="s">
        <v>9</v>
      </c>
      <c r="P50" t="s">
        <v>9</v>
      </c>
      <c r="S50" s="1" t="s">
        <v>9</v>
      </c>
      <c r="U50">
        <f t="shared" si="0"/>
        <v>24</v>
      </c>
    </row>
    <row r="51" spans="1:21" x14ac:dyDescent="0.2">
      <c r="A51" s="13">
        <v>49</v>
      </c>
      <c r="C51" s="4" t="s">
        <v>9</v>
      </c>
      <c r="E51" t="s">
        <v>9</v>
      </c>
      <c r="I51" s="4" t="s">
        <v>9</v>
      </c>
      <c r="K51" s="4" t="s">
        <v>9</v>
      </c>
      <c r="Q51" t="s">
        <v>9</v>
      </c>
      <c r="S51" s="1" t="s">
        <v>9</v>
      </c>
      <c r="U51">
        <f t="shared" si="0"/>
        <v>25</v>
      </c>
    </row>
  </sheetData>
  <mergeCells count="6">
    <mergeCell ref="S1:T1"/>
    <mergeCell ref="B1:C1"/>
    <mergeCell ref="D1:F1"/>
    <mergeCell ref="L1:R1"/>
    <mergeCell ref="G1:I1"/>
    <mergeCell ref="J1:K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0CF0-23D9-BF4E-848C-30819883CD83}">
  <dimension ref="A1:Z38"/>
  <sheetViews>
    <sheetView tabSelected="1" workbookViewId="0">
      <selection activeCell="X24" sqref="X24"/>
    </sheetView>
  </sheetViews>
  <sheetFormatPr baseColWidth="10" defaultRowHeight="16" x14ac:dyDescent="0.2"/>
  <cols>
    <col min="1" max="1" width="2.83203125" bestFit="1" customWidth="1"/>
    <col min="2" max="2" width="8.1640625" style="1" bestFit="1" customWidth="1"/>
    <col min="3" max="3" width="7.1640625" bestFit="1" customWidth="1"/>
    <col min="4" max="4" width="6.1640625" bestFit="1" customWidth="1"/>
    <col min="5" max="6" width="5.1640625" bestFit="1" customWidth="1"/>
    <col min="7" max="7" width="5.1640625" customWidth="1"/>
    <col min="8" max="10" width="5.1640625" bestFit="1" customWidth="1"/>
    <col min="11" max="11" width="4.1640625" bestFit="1" customWidth="1"/>
    <col min="12" max="12" width="5.1640625" bestFit="1" customWidth="1"/>
    <col min="13" max="13" width="2.1640625" style="4" bestFit="1" customWidth="1"/>
    <col min="14" max="14" width="4.6640625" style="1" customWidth="1"/>
    <col min="15" max="15" width="5.1640625" customWidth="1"/>
    <col min="16" max="16" width="4.83203125" style="4" customWidth="1"/>
    <col min="17" max="17" width="8" style="1" customWidth="1"/>
    <col min="18" max="18" width="8" style="4" customWidth="1"/>
    <col min="19" max="19" width="6.83203125" style="1" customWidth="1"/>
    <col min="20" max="20" width="6.83203125" style="4" customWidth="1"/>
    <col min="21" max="21" width="11.6640625" bestFit="1" customWidth="1"/>
    <col min="22" max="22" width="2.83203125" bestFit="1" customWidth="1"/>
  </cols>
  <sheetData>
    <row r="1" spans="1:26" x14ac:dyDescent="0.2">
      <c r="A1" s="12"/>
      <c r="B1" s="20" t="s">
        <v>33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1"/>
      <c r="N1" s="20" t="s">
        <v>34</v>
      </c>
      <c r="O1" s="22"/>
      <c r="P1" s="21"/>
      <c r="Q1" s="20" t="s">
        <v>35</v>
      </c>
      <c r="R1" s="21"/>
      <c r="S1" s="20" t="s">
        <v>49</v>
      </c>
      <c r="T1" s="21"/>
      <c r="U1" s="14" t="s">
        <v>0</v>
      </c>
      <c r="V1" s="15"/>
    </row>
    <row r="2" spans="1:26" x14ac:dyDescent="0.2">
      <c r="A2" s="16" t="s">
        <v>8</v>
      </c>
      <c r="B2" s="6">
        <v>1.0000000000000001E-5</v>
      </c>
      <c r="C2" s="7">
        <v>1E-4</v>
      </c>
      <c r="D2" s="7">
        <v>1E-3</v>
      </c>
      <c r="E2" s="7">
        <v>0.01</v>
      </c>
      <c r="F2" s="7">
        <v>0.02</v>
      </c>
      <c r="G2" s="7">
        <v>0.03</v>
      </c>
      <c r="H2" s="7">
        <v>0.04</v>
      </c>
      <c r="I2" s="7">
        <v>0.05</v>
      </c>
      <c r="J2" s="7">
        <v>0.25</v>
      </c>
      <c r="K2" s="7">
        <v>0.5</v>
      </c>
      <c r="L2" s="7">
        <v>0.75</v>
      </c>
      <c r="M2" s="8">
        <v>1</v>
      </c>
      <c r="N2" s="6">
        <v>0</v>
      </c>
      <c r="O2" s="7">
        <v>2</v>
      </c>
      <c r="P2" s="8">
        <v>4</v>
      </c>
      <c r="Q2" s="6" t="s">
        <v>36</v>
      </c>
      <c r="R2" s="8" t="s">
        <v>37</v>
      </c>
      <c r="S2" s="6" t="s">
        <v>6</v>
      </c>
      <c r="T2" s="8" t="s">
        <v>7</v>
      </c>
      <c r="U2" s="7"/>
      <c r="V2" s="8"/>
    </row>
    <row r="3" spans="1:26" x14ac:dyDescent="0.2">
      <c r="A3" s="1">
        <v>1</v>
      </c>
      <c r="B3" s="5"/>
      <c r="C3" s="14" t="s">
        <v>9</v>
      </c>
      <c r="D3" s="14"/>
      <c r="E3" s="14"/>
      <c r="F3" s="14"/>
      <c r="G3" s="14"/>
      <c r="H3" s="14"/>
      <c r="I3" s="14"/>
      <c r="J3" s="14"/>
      <c r="K3" s="14"/>
      <c r="L3" s="14"/>
      <c r="M3" s="15"/>
      <c r="N3" s="5"/>
      <c r="O3" s="14" t="s">
        <v>9</v>
      </c>
      <c r="P3" s="15"/>
      <c r="Q3" s="5"/>
      <c r="R3" s="15" t="s">
        <v>9</v>
      </c>
      <c r="S3" s="5"/>
      <c r="T3" s="15" t="s">
        <v>9</v>
      </c>
      <c r="U3" t="s">
        <v>39</v>
      </c>
      <c r="V3">
        <v>-1</v>
      </c>
      <c r="Z3" t="s">
        <v>51</v>
      </c>
    </row>
    <row r="4" spans="1:26" x14ac:dyDescent="0.2">
      <c r="A4" s="1">
        <v>2</v>
      </c>
      <c r="D4" t="s">
        <v>9</v>
      </c>
      <c r="O4" t="s">
        <v>9</v>
      </c>
      <c r="R4" s="4" t="s">
        <v>9</v>
      </c>
      <c r="T4" s="4" t="s">
        <v>9</v>
      </c>
      <c r="U4" t="s">
        <v>39</v>
      </c>
      <c r="V4">
        <v>-1</v>
      </c>
      <c r="Z4" s="18" t="s">
        <v>52</v>
      </c>
    </row>
    <row r="5" spans="1:26" x14ac:dyDescent="0.2">
      <c r="A5" s="1">
        <v>3</v>
      </c>
      <c r="E5" t="s">
        <v>9</v>
      </c>
      <c r="O5" t="s">
        <v>9</v>
      </c>
      <c r="R5" s="4" t="s">
        <v>9</v>
      </c>
      <c r="T5" s="4" t="s">
        <v>9</v>
      </c>
      <c r="U5" t="s">
        <v>39</v>
      </c>
      <c r="V5">
        <v>-1</v>
      </c>
    </row>
    <row r="6" spans="1:26" x14ac:dyDescent="0.2">
      <c r="A6" s="1">
        <v>4</v>
      </c>
      <c r="F6" t="s">
        <v>9</v>
      </c>
      <c r="O6" t="s">
        <v>9</v>
      </c>
      <c r="R6" s="4" t="s">
        <v>9</v>
      </c>
      <c r="T6" s="4" t="s">
        <v>9</v>
      </c>
      <c r="U6" t="s">
        <v>39</v>
      </c>
      <c r="V6">
        <v>-1</v>
      </c>
    </row>
    <row r="7" spans="1:26" x14ac:dyDescent="0.2">
      <c r="A7" s="1">
        <v>5</v>
      </c>
      <c r="J7" t="s">
        <v>9</v>
      </c>
      <c r="O7" t="s">
        <v>9</v>
      </c>
      <c r="R7" s="4" t="s">
        <v>9</v>
      </c>
      <c r="T7" s="4" t="s">
        <v>9</v>
      </c>
      <c r="U7" t="s">
        <v>39</v>
      </c>
      <c r="V7">
        <v>-1</v>
      </c>
      <c r="W7" t="s">
        <v>40</v>
      </c>
    </row>
    <row r="8" spans="1:26" x14ac:dyDescent="0.2">
      <c r="A8" s="1">
        <v>6</v>
      </c>
      <c r="K8" t="s">
        <v>9</v>
      </c>
      <c r="O8" t="s">
        <v>9</v>
      </c>
      <c r="R8" s="4" t="s">
        <v>9</v>
      </c>
      <c r="T8" s="4" t="s">
        <v>9</v>
      </c>
      <c r="U8" t="s">
        <v>39</v>
      </c>
      <c r="V8">
        <v>-1</v>
      </c>
      <c r="W8" t="s">
        <v>40</v>
      </c>
    </row>
    <row r="9" spans="1:26" x14ac:dyDescent="0.2">
      <c r="A9" s="1">
        <v>7</v>
      </c>
      <c r="L9" t="s">
        <v>9</v>
      </c>
      <c r="O9" t="s">
        <v>9</v>
      </c>
      <c r="R9" s="4" t="s">
        <v>9</v>
      </c>
      <c r="T9" s="4" t="s">
        <v>9</v>
      </c>
      <c r="U9" t="s">
        <v>39</v>
      </c>
      <c r="V9">
        <v>-1</v>
      </c>
      <c r="W9" t="s">
        <v>40</v>
      </c>
    </row>
    <row r="10" spans="1:26" x14ac:dyDescent="0.2">
      <c r="A10" s="1">
        <v>8</v>
      </c>
      <c r="M10" s="4" t="s">
        <v>9</v>
      </c>
      <c r="O10" t="s">
        <v>9</v>
      </c>
      <c r="R10" s="4" t="s">
        <v>9</v>
      </c>
      <c r="T10" s="4" t="s">
        <v>9</v>
      </c>
      <c r="U10" t="s">
        <v>39</v>
      </c>
      <c r="V10">
        <v>-1</v>
      </c>
      <c r="W10" t="s">
        <v>40</v>
      </c>
    </row>
    <row r="11" spans="1:26" x14ac:dyDescent="0.2">
      <c r="A11" s="1">
        <v>9</v>
      </c>
      <c r="B11" s="1" t="s">
        <v>9</v>
      </c>
      <c r="P11" s="4" t="s">
        <v>9</v>
      </c>
      <c r="R11" s="4" t="s">
        <v>9</v>
      </c>
      <c r="T11" s="4" t="s">
        <v>9</v>
      </c>
      <c r="U11" t="s">
        <v>39</v>
      </c>
      <c r="V11">
        <v>-1</v>
      </c>
    </row>
    <row r="12" spans="1:26" x14ac:dyDescent="0.2">
      <c r="A12" s="1">
        <v>10</v>
      </c>
      <c r="C12" t="s">
        <v>9</v>
      </c>
      <c r="P12" s="4" t="s">
        <v>9</v>
      </c>
      <c r="R12" s="4" t="s">
        <v>9</v>
      </c>
      <c r="T12" s="4" t="s">
        <v>9</v>
      </c>
      <c r="U12" t="s">
        <v>39</v>
      </c>
      <c r="V12">
        <v>0</v>
      </c>
    </row>
    <row r="13" spans="1:26" x14ac:dyDescent="0.2">
      <c r="A13" s="1">
        <v>11</v>
      </c>
      <c r="D13" t="s">
        <v>9</v>
      </c>
      <c r="P13" s="4" t="s">
        <v>9</v>
      </c>
      <c r="R13" s="4" t="s">
        <v>9</v>
      </c>
      <c r="T13" s="4" t="s">
        <v>9</v>
      </c>
      <c r="U13" t="s">
        <v>39</v>
      </c>
      <c r="V13">
        <v>-1</v>
      </c>
    </row>
    <row r="14" spans="1:26" x14ac:dyDescent="0.2">
      <c r="A14" s="1">
        <v>12</v>
      </c>
      <c r="E14" t="s">
        <v>9</v>
      </c>
      <c r="P14" s="4" t="s">
        <v>9</v>
      </c>
      <c r="R14" s="4" t="s">
        <v>9</v>
      </c>
      <c r="T14" s="4" t="s">
        <v>9</v>
      </c>
      <c r="U14" t="s">
        <v>39</v>
      </c>
      <c r="V14">
        <v>-1</v>
      </c>
    </row>
    <row r="15" spans="1:26" x14ac:dyDescent="0.2">
      <c r="A15" s="1">
        <v>13</v>
      </c>
      <c r="F15" t="s">
        <v>9</v>
      </c>
      <c r="P15" s="4" t="s">
        <v>9</v>
      </c>
      <c r="R15" s="4" t="s">
        <v>9</v>
      </c>
      <c r="T15" s="4" t="s">
        <v>9</v>
      </c>
      <c r="U15" t="s">
        <v>39</v>
      </c>
      <c r="V15">
        <v>-1</v>
      </c>
    </row>
    <row r="16" spans="1:26" x14ac:dyDescent="0.2">
      <c r="A16" s="1">
        <v>14</v>
      </c>
      <c r="G16" t="s">
        <v>9</v>
      </c>
      <c r="P16" s="4" t="s">
        <v>9</v>
      </c>
      <c r="R16" s="4" t="s">
        <v>9</v>
      </c>
      <c r="T16" s="4" t="s">
        <v>9</v>
      </c>
      <c r="U16" t="s">
        <v>39</v>
      </c>
      <c r="V16">
        <v>-1</v>
      </c>
    </row>
    <row r="17" spans="1:22" x14ac:dyDescent="0.2">
      <c r="A17" s="1">
        <v>15</v>
      </c>
      <c r="H17" t="s">
        <v>9</v>
      </c>
      <c r="P17" s="4" t="s">
        <v>9</v>
      </c>
      <c r="R17" s="4" t="s">
        <v>9</v>
      </c>
      <c r="T17" s="4" t="s">
        <v>9</v>
      </c>
      <c r="U17" t="s">
        <v>39</v>
      </c>
      <c r="V17">
        <v>-1</v>
      </c>
    </row>
    <row r="18" spans="1:22" x14ac:dyDescent="0.2">
      <c r="A18" s="1">
        <v>16</v>
      </c>
      <c r="I18" t="s">
        <v>9</v>
      </c>
      <c r="P18" s="4" t="s">
        <v>9</v>
      </c>
      <c r="R18" s="4" t="s">
        <v>9</v>
      </c>
      <c r="T18" s="4" t="s">
        <v>9</v>
      </c>
      <c r="U18" t="s">
        <v>39</v>
      </c>
      <c r="V18">
        <v>-1</v>
      </c>
    </row>
    <row r="19" spans="1:22" x14ac:dyDescent="0.2">
      <c r="A19" s="1">
        <v>17</v>
      </c>
      <c r="B19" s="1" t="s">
        <v>9</v>
      </c>
      <c r="N19" s="1" t="s">
        <v>9</v>
      </c>
      <c r="Q19" s="1" t="s">
        <v>9</v>
      </c>
      <c r="T19" s="4" t="s">
        <v>9</v>
      </c>
      <c r="U19" t="s">
        <v>39</v>
      </c>
      <c r="V19">
        <v>-1</v>
      </c>
    </row>
    <row r="20" spans="1:22" x14ac:dyDescent="0.2">
      <c r="A20" s="1">
        <v>18</v>
      </c>
      <c r="C20" t="s">
        <v>9</v>
      </c>
      <c r="N20" s="1" t="s">
        <v>9</v>
      </c>
      <c r="Q20" s="1" t="s">
        <v>9</v>
      </c>
      <c r="T20" s="4" t="s">
        <v>9</v>
      </c>
      <c r="U20" t="s">
        <v>39</v>
      </c>
      <c r="V20">
        <v>-1</v>
      </c>
    </row>
    <row r="21" spans="1:22" x14ac:dyDescent="0.2">
      <c r="A21" s="1">
        <v>19</v>
      </c>
      <c r="D21" t="s">
        <v>9</v>
      </c>
      <c r="N21" s="1" t="s">
        <v>9</v>
      </c>
      <c r="Q21" s="1" t="s">
        <v>9</v>
      </c>
      <c r="T21" s="4" t="s">
        <v>9</v>
      </c>
      <c r="U21" t="s">
        <v>39</v>
      </c>
      <c r="V21">
        <v>-1</v>
      </c>
    </row>
    <row r="22" spans="1:22" x14ac:dyDescent="0.2">
      <c r="A22" s="1">
        <v>20</v>
      </c>
      <c r="E22" t="s">
        <v>9</v>
      </c>
      <c r="N22" s="1" t="s">
        <v>9</v>
      </c>
      <c r="Q22" s="1" t="s">
        <v>9</v>
      </c>
      <c r="T22" s="4" t="s">
        <v>9</v>
      </c>
      <c r="U22" t="s">
        <v>39</v>
      </c>
      <c r="V22">
        <v>-1</v>
      </c>
    </row>
    <row r="23" spans="1:22" x14ac:dyDescent="0.2">
      <c r="A23" s="1">
        <v>21</v>
      </c>
      <c r="F23" t="s">
        <v>9</v>
      </c>
      <c r="N23" s="1" t="s">
        <v>9</v>
      </c>
      <c r="Q23" s="1" t="s">
        <v>9</v>
      </c>
      <c r="T23" s="4" t="s">
        <v>9</v>
      </c>
      <c r="U23" t="s">
        <v>39</v>
      </c>
      <c r="V23">
        <v>-1</v>
      </c>
    </row>
    <row r="24" spans="1:22" x14ac:dyDescent="0.2">
      <c r="A24" s="1">
        <v>22</v>
      </c>
      <c r="G24" t="s">
        <v>9</v>
      </c>
      <c r="N24" s="1" t="s">
        <v>9</v>
      </c>
      <c r="Q24" s="1" t="s">
        <v>9</v>
      </c>
      <c r="T24" s="4" t="s">
        <v>9</v>
      </c>
      <c r="U24" t="s">
        <v>39</v>
      </c>
      <c r="V24">
        <v>-1</v>
      </c>
    </row>
    <row r="25" spans="1:22" x14ac:dyDescent="0.2">
      <c r="A25" s="1">
        <v>23</v>
      </c>
      <c r="H25" t="s">
        <v>9</v>
      </c>
      <c r="N25" s="1" t="s">
        <v>9</v>
      </c>
      <c r="Q25" s="1" t="s">
        <v>9</v>
      </c>
      <c r="T25" s="4" t="s">
        <v>9</v>
      </c>
      <c r="U25" t="s">
        <v>39</v>
      </c>
      <c r="V25">
        <v>-1</v>
      </c>
    </row>
    <row r="26" spans="1:22" x14ac:dyDescent="0.2">
      <c r="A26" s="1">
        <v>24</v>
      </c>
      <c r="I26" t="s">
        <v>9</v>
      </c>
      <c r="N26" s="1" t="s">
        <v>9</v>
      </c>
      <c r="Q26" s="1" t="s">
        <v>9</v>
      </c>
      <c r="T26" s="4" t="s">
        <v>9</v>
      </c>
      <c r="U26" t="s">
        <v>39</v>
      </c>
      <c r="V26">
        <v>-1</v>
      </c>
    </row>
    <row r="27" spans="1:22" x14ac:dyDescent="0.2">
      <c r="A27" s="1">
        <v>25</v>
      </c>
    </row>
    <row r="28" spans="1:22" x14ac:dyDescent="0.2">
      <c r="A28" s="1">
        <v>26</v>
      </c>
    </row>
    <row r="29" spans="1:22" x14ac:dyDescent="0.2">
      <c r="A29" s="1">
        <v>27</v>
      </c>
    </row>
    <row r="30" spans="1:22" x14ac:dyDescent="0.2">
      <c r="A30" s="1">
        <v>28</v>
      </c>
    </row>
    <row r="31" spans="1:22" x14ac:dyDescent="0.2">
      <c r="A31" s="1">
        <v>29</v>
      </c>
    </row>
    <row r="32" spans="1:22" x14ac:dyDescent="0.2">
      <c r="A32" s="1">
        <v>30</v>
      </c>
    </row>
    <row r="33" spans="1:1" x14ac:dyDescent="0.2">
      <c r="A33" s="1">
        <v>31</v>
      </c>
    </row>
    <row r="34" spans="1:1" x14ac:dyDescent="0.2">
      <c r="A34" s="1">
        <v>32</v>
      </c>
    </row>
    <row r="35" spans="1:1" x14ac:dyDescent="0.2">
      <c r="A35" s="1">
        <v>33</v>
      </c>
    </row>
    <row r="36" spans="1:1" x14ac:dyDescent="0.2">
      <c r="A36" s="1">
        <v>34</v>
      </c>
    </row>
    <row r="37" spans="1:1" x14ac:dyDescent="0.2">
      <c r="A37" s="1">
        <v>35</v>
      </c>
    </row>
    <row r="38" spans="1:1" x14ac:dyDescent="0.2">
      <c r="A38" s="1">
        <v>36</v>
      </c>
    </row>
  </sheetData>
  <mergeCells count="4">
    <mergeCell ref="N1:P1"/>
    <mergeCell ref="Q1:R1"/>
    <mergeCell ref="S1:T1"/>
    <mergeCell ref="B1:M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Basis SAC</vt:lpstr>
      <vt:lpstr>Social SAC (+ policy update)</vt:lpstr>
      <vt:lpstr>Social SAC (+ Q-Value update)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Lietz</dc:creator>
  <cp:lastModifiedBy>Kristina Lietz</cp:lastModifiedBy>
  <dcterms:created xsi:type="dcterms:W3CDTF">2023-09-20T12:54:15Z</dcterms:created>
  <dcterms:modified xsi:type="dcterms:W3CDTF">2023-09-26T16:53:52Z</dcterms:modified>
</cp:coreProperties>
</file>