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ina/Documents/Studium/Informatik M.Sc. - Tü/SoSe 2023/social-rl/datasets/"/>
    </mc:Choice>
  </mc:AlternateContent>
  <xr:revisionPtr revIDLastSave="0" documentId="8_{6A065D21-D82A-9E48-A189-689C1AA5F19B}" xr6:coauthVersionLast="47" xr6:coauthVersionMax="47" xr10:uidLastSave="{00000000-0000-0000-0000-000000000000}"/>
  <bookViews>
    <workbookView xWindow="0" yWindow="0" windowWidth="28800" windowHeight="18000" xr2:uid="{E3B336DF-955B-E246-AD6D-FDC1F25EFF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21" i="1" s="1"/>
  <c r="D9" i="1"/>
  <c r="D21" i="1" s="1"/>
  <c r="E9" i="1"/>
  <c r="E10" i="1" s="1"/>
  <c r="E11" i="1" s="1"/>
  <c r="F9" i="1"/>
  <c r="F10" i="1" s="1"/>
  <c r="F11" i="1" s="1"/>
  <c r="G9" i="1"/>
  <c r="G21" i="1" s="1"/>
  <c r="B9" i="1"/>
  <c r="B10" i="1" s="1"/>
  <c r="B11" i="1" s="1"/>
  <c r="G10" i="1" l="1"/>
  <c r="G11" i="1" s="1"/>
  <c r="D10" i="1"/>
  <c r="D11" i="1" s="1"/>
  <c r="B21" i="1"/>
  <c r="C10" i="1"/>
  <c r="C11" i="1" s="1"/>
  <c r="F21" i="1"/>
  <c r="E21" i="1"/>
  <c r="B23" i="1" l="1"/>
  <c r="B22" i="1"/>
</calcChain>
</file>

<file path=xl/sharedStrings.xml><?xml version="1.0" encoding="utf-8"?>
<sst xmlns="http://schemas.openxmlformats.org/spreadsheetml/2006/main" count="21" uniqueCount="21">
  <si>
    <t>Building 1</t>
  </si>
  <si>
    <t>Building 2</t>
  </si>
  <si>
    <t>Building 3</t>
  </si>
  <si>
    <t>cooling_electricity_consumption</t>
  </si>
  <si>
    <t>heating_electricity_consumption</t>
  </si>
  <si>
    <t>dwh_electricity_consumption</t>
  </si>
  <si>
    <t>electrical_storage_electricity_consumption</t>
  </si>
  <si>
    <t>non_shiftable_load_demand</t>
  </si>
  <si>
    <t>solar_generation</t>
  </si>
  <si>
    <t>net_electricity_consumption</t>
  </si>
  <si>
    <t>net_electricity_consumption - solar_generation</t>
  </si>
  <si>
    <t>used_pv</t>
  </si>
  <si>
    <t>Building 4</t>
  </si>
  <si>
    <t>Building 5</t>
  </si>
  <si>
    <t>Building 6</t>
  </si>
  <si>
    <t>renewable_energy_consumption</t>
  </si>
  <si>
    <t>Renewable produced</t>
  </si>
  <si>
    <t>max(net_elec_cons, 0)</t>
  </si>
  <si>
    <t>total_energy_consumption</t>
  </si>
  <si>
    <t>net_electricity_consumption_without_storage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</si>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</sst>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E9AB-2713-A449-B07C-06B00C4EB9E3}">
  <dimension ref="A2:J23"/>
  <sheetViews>
    <sheetView tabSelected="1" workbookViewId="0">
      <selection activeCell="B13" sqref="B13"/>
    </sheetView>
  </sheetViews>
  <sheetFormatPr baseColWidth="10" defaultRowHeight="16" x14ac:dyDescent="0.2"/>
  <cols>
    <col min="1" max="1" width="41.6640625" customWidth="1"/>
    <col min="9" max="9" width="19.6640625" customWidth="1"/>
  </cols>
  <sheetData>
    <row r="2" spans="1:7" x14ac:dyDescent="0.2">
      <c r="B2" t="s">
        <v>0</v>
      </c>
      <c r="C2" t="s">
        <v>1</v>
      </c>
      <c r="D2" t="s">
        <v>2</v>
      </c>
      <c r="E2" t="s">
        <v>12</v>
      </c>
      <c r="F2" t="s">
        <v>13</v>
      </c>
      <c r="G2" t="s">
        <v>14</v>
      </c>
    </row>
    <row r="3" spans="1:7" x14ac:dyDescent="0.2">
      <c r="A3" t="s">
        <v>3</v>
      </c>
      <c r="B3">
        <v>10</v>
      </c>
      <c r="C3">
        <v>0</v>
      </c>
      <c r="D3">
        <v>-10</v>
      </c>
      <c r="E3">
        <v>-20</v>
      </c>
      <c r="F3">
        <v>-10</v>
      </c>
      <c r="G3">
        <v>-10</v>
      </c>
    </row>
    <row r="4" spans="1:7" x14ac:dyDescent="0.2">
      <c r="A4" t="s">
        <v>4</v>
      </c>
      <c r="B4">
        <v>10</v>
      </c>
      <c r="C4">
        <v>0</v>
      </c>
      <c r="D4">
        <v>-20</v>
      </c>
      <c r="E4">
        <v>-10</v>
      </c>
      <c r="F4">
        <v>-10</v>
      </c>
      <c r="G4">
        <v>-10</v>
      </c>
    </row>
    <row r="5" spans="1:7" x14ac:dyDescent="0.2">
      <c r="A5" s="1" t="s">
        <v>5</v>
      </c>
      <c r="B5">
        <v>10</v>
      </c>
      <c r="C5">
        <v>10</v>
      </c>
      <c r="D5">
        <v>0</v>
      </c>
      <c r="E5">
        <v>20</v>
      </c>
      <c r="F5">
        <v>20</v>
      </c>
      <c r="G5">
        <v>20</v>
      </c>
    </row>
    <row r="6" spans="1:7" x14ac:dyDescent="0.2">
      <c r="A6" s="1" t="s">
        <v>6</v>
      </c>
      <c r="B6">
        <v>10</v>
      </c>
      <c r="C6">
        <v>10</v>
      </c>
      <c r="D6">
        <v>0</v>
      </c>
      <c r="E6">
        <v>10</v>
      </c>
      <c r="F6">
        <v>10</v>
      </c>
      <c r="G6">
        <v>20</v>
      </c>
    </row>
    <row r="7" spans="1:7" x14ac:dyDescent="0.2">
      <c r="A7" t="s">
        <v>7</v>
      </c>
      <c r="B7">
        <v>10</v>
      </c>
      <c r="C7">
        <v>0</v>
      </c>
      <c r="D7">
        <v>0</v>
      </c>
      <c r="E7">
        <v>0</v>
      </c>
      <c r="F7">
        <v>0</v>
      </c>
      <c r="G7">
        <v>20</v>
      </c>
    </row>
    <row r="8" spans="1:7" x14ac:dyDescent="0.2">
      <c r="A8" t="s">
        <v>8</v>
      </c>
      <c r="B8">
        <v>-30</v>
      </c>
      <c r="C8">
        <v>-30</v>
      </c>
      <c r="D8">
        <v>0</v>
      </c>
      <c r="E8">
        <v>-20</v>
      </c>
      <c r="F8">
        <v>-20</v>
      </c>
      <c r="G8">
        <v>-20</v>
      </c>
    </row>
    <row r="9" spans="1:7" x14ac:dyDescent="0.2">
      <c r="A9" s="2" t="s">
        <v>9</v>
      </c>
      <c r="B9">
        <f>SUM(B3:B8)</f>
        <v>20</v>
      </c>
      <c r="C9">
        <f t="shared" ref="C9:G9" si="0">SUM(C3:C8)</f>
        <v>-10</v>
      </c>
      <c r="D9">
        <f t="shared" si="0"/>
        <v>-30</v>
      </c>
      <c r="E9">
        <f t="shared" si="0"/>
        <v>-20</v>
      </c>
      <c r="F9">
        <f t="shared" si="0"/>
        <v>-10</v>
      </c>
      <c r="G9">
        <f t="shared" si="0"/>
        <v>20</v>
      </c>
    </row>
    <row r="10" spans="1:7" x14ac:dyDescent="0.2">
      <c r="A10" s="2" t="s">
        <v>10</v>
      </c>
      <c r="B10">
        <f>B9-B8</f>
        <v>50</v>
      </c>
      <c r="C10">
        <f t="shared" ref="C10:G10" si="1">C9-C8</f>
        <v>20</v>
      </c>
      <c r="D10">
        <f t="shared" si="1"/>
        <v>-30</v>
      </c>
      <c r="E10">
        <f t="shared" si="1"/>
        <v>0</v>
      </c>
      <c r="F10">
        <f t="shared" si="1"/>
        <v>10</v>
      </c>
      <c r="G10">
        <f t="shared" si="1"/>
        <v>40</v>
      </c>
    </row>
    <row r="11" spans="1:7" customFormat="1" x14ac:dyDescent="0.2">
      <c r="A11" s="2" t="s">
        <v>11</v>
      </c>
      <c r="B11">
        <f>MAX(MIN(B10,-B8),0)</f>
        <v>30</v>
      </c>
      <c r="C11">
        <f t="shared" ref="C11:G11" si="2">MAX(MIN(C10,-C8),0)</f>
        <v>20</v>
      </c>
      <c r="D11">
        <f t="shared" si="2"/>
        <v>0</v>
      </c>
      <c r="E11">
        <f t="shared" si="2"/>
        <v>0</v>
      </c>
      <c r="F11">
        <f t="shared" si="2"/>
        <v>10</v>
      </c>
      <c r="G11">
        <f t="shared" si="2"/>
        <v>20</v>
      </c>
    </row>
    <row r="12" spans="1:7" customFormat="1" x14ac:dyDescent="0.2">
      <c r="A12" s="2"/>
    </row>
    <row r="13" spans="1:7" s="2" customFormat="1" x14ac:dyDescent="0.2">
      <c r="A13" s="2" t="s">
        <v>19</v>
      </c>
      <c r="B13" s="2" t="s">
        <v>20</v>
      </c>
    </row>
    <row r="14" spans="1:7" s="2" customFormat="1" x14ac:dyDescent="0.2"/>
    <row r="15" spans="1:7" s="2" customFormat="1" x14ac:dyDescent="0.2"/>
    <row r="16" spans="1:7" customFormat="1" x14ac:dyDescent="0.2">
      <c r="A16" s="2"/>
    </row>
    <row r="17" spans="1:10" x14ac:dyDescent="0.2">
      <c r="A17" s="2"/>
    </row>
    <row r="18" spans="1:10" x14ac:dyDescent="0.2">
      <c r="A18" s="2"/>
      <c r="I18" t="s">
        <v>16</v>
      </c>
      <c r="J18">
        <v>20</v>
      </c>
    </row>
    <row r="21" spans="1:10" x14ac:dyDescent="0.2">
      <c r="A21" s="3" t="s">
        <v>17</v>
      </c>
      <c r="B21" s="3">
        <f>MAX(B9,0)</f>
        <v>20</v>
      </c>
      <c r="C21" s="3">
        <f t="shared" ref="C21:G21" si="3">MAX(C9,0)</f>
        <v>0</v>
      </c>
      <c r="D21" s="3">
        <f t="shared" si="3"/>
        <v>0</v>
      </c>
      <c r="E21" s="3">
        <f t="shared" si="3"/>
        <v>0</v>
      </c>
      <c r="F21" s="3">
        <f t="shared" si="3"/>
        <v>0</v>
      </c>
      <c r="G21" s="3">
        <f t="shared" si="3"/>
        <v>20</v>
      </c>
    </row>
    <row r="22" spans="1:10" x14ac:dyDescent="0.2">
      <c r="A22" s="2" t="s">
        <v>15</v>
      </c>
      <c r="B22">
        <f>MIN(SUM(B21:G21),J18)+SUM(B11:G11)</f>
        <v>100</v>
      </c>
    </row>
    <row r="23" spans="1:10" x14ac:dyDescent="0.2">
      <c r="A23" s="2" t="s">
        <v>18</v>
      </c>
      <c r="B23">
        <f>SUM(B21:G21,B11:G11)</f>
        <v>120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Lietz</dc:creator>
  <cp:lastModifiedBy>Kristina Lietz</cp:lastModifiedBy>
  <dcterms:created xsi:type="dcterms:W3CDTF">2023-06-29T09:35:28Z</dcterms:created>
  <dcterms:modified xsi:type="dcterms:W3CDTF">2023-07-02T19:07:44Z</dcterms:modified>
</cp:coreProperties>
</file>